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BajjurB\Downloads\"/>
    </mc:Choice>
  </mc:AlternateContent>
  <xr:revisionPtr revIDLastSave="0" documentId="13_ncr:1_{1B16FBFC-063A-4ECD-BFD8-30DEB0D706CF}" xr6:coauthVersionLast="47" xr6:coauthVersionMax="47" xr10:uidLastSave="{00000000-0000-0000-0000-000000000000}"/>
  <bookViews>
    <workbookView xWindow="28680" yWindow="-120" windowWidth="29040" windowHeight="15720" activeTab="7" xr2:uid="{63B6FE3C-AA11-4DD1-A5A9-01785CD56618}"/>
  </bookViews>
  <sheets>
    <sheet name="2011" sheetId="5" r:id="rId1"/>
    <sheet name="2012" sheetId="2" r:id="rId2"/>
    <sheet name="2013" sheetId="3" r:id="rId3"/>
    <sheet name="2014" sheetId="4" r:id="rId4"/>
    <sheet name="2015" sheetId="1" r:id="rId5"/>
    <sheet name="Data" sheetId="8" r:id="rId6"/>
    <sheet name="Questions" sheetId="7" r:id="rId7"/>
    <sheet name="Dashboard" sheetId="9" r:id="rId8"/>
  </sheets>
  <definedNames>
    <definedName name="Slicer_Crash_Summary">#N/A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8" l="1"/>
  <c r="I2" i="8" s="1"/>
  <c r="H3" i="8"/>
  <c r="I3" i="8" s="1"/>
  <c r="H4" i="8"/>
  <c r="I4" i="8" s="1"/>
  <c r="H5" i="8"/>
  <c r="I5" i="8" s="1"/>
  <c r="H6" i="8"/>
  <c r="I6" i="8" s="1"/>
  <c r="H7" i="8"/>
  <c r="I7" i="8" s="1"/>
  <c r="H8" i="8"/>
  <c r="I8" i="8" s="1"/>
  <c r="H9" i="8"/>
  <c r="I9" i="8" s="1"/>
  <c r="H10" i="8"/>
  <c r="I10" i="8" s="1"/>
  <c r="H11" i="8"/>
  <c r="I11" i="8" s="1"/>
  <c r="H12" i="8"/>
  <c r="I12" i="8" s="1"/>
  <c r="H13" i="8"/>
  <c r="I13" i="8" s="1"/>
  <c r="G3" i="8"/>
  <c r="G4" i="8"/>
  <c r="G5" i="8"/>
  <c r="G6" i="8"/>
  <c r="G7" i="8"/>
  <c r="G8" i="8"/>
  <c r="G9" i="8"/>
  <c r="G10" i="8"/>
  <c r="G11" i="8"/>
  <c r="G12" i="8"/>
  <c r="G13" i="8"/>
  <c r="G2" i="8"/>
  <c r="B7" i="7" l="1"/>
</calcChain>
</file>

<file path=xl/sharedStrings.xml><?xml version="1.0" encoding="utf-8"?>
<sst xmlns="http://schemas.openxmlformats.org/spreadsheetml/2006/main" count="137" uniqueCount="69">
  <si>
    <t>Crash Summary</t>
  </si>
  <si>
    <t>Total Crashes:</t>
  </si>
  <si>
    <t>Injury Crashes:</t>
  </si>
  <si>
    <t>Total Injuries:</t>
  </si>
  <si>
    <t>Crashes with Traffic Fatalities:</t>
  </si>
  <si>
    <t>Total Traffic Fatalities</t>
  </si>
  <si>
    <t>Commercial Vehicle Crashes:</t>
  </si>
  <si>
    <t>Commercial Vehicles:</t>
  </si>
  <si>
    <t>Property Damage Crashes:</t>
  </si>
  <si>
    <t>Pedestrian Crashes:</t>
  </si>
  <si>
    <t>Pedestrian Fatalities:</t>
  </si>
  <si>
    <t>Bicycle Crashes:</t>
  </si>
  <si>
    <t>Bicycle Fatalities:</t>
  </si>
  <si>
    <t>2011</t>
  </si>
  <si>
    <t>2012</t>
  </si>
  <si>
    <t>2013</t>
  </si>
  <si>
    <t>2014</t>
  </si>
  <si>
    <t>2015</t>
  </si>
  <si>
    <t>Sum</t>
  </si>
  <si>
    <t>How have total crashes changed over time?</t>
  </si>
  <si>
    <t>are injuries increasing at the same rate as crashes?</t>
  </si>
  <si>
    <t>are there any unusual spikes or drops</t>
  </si>
  <si>
    <t>what is the injury rate per crash</t>
  </si>
  <si>
    <t>what is the total crashes to injury crashes ratio</t>
  </si>
  <si>
    <t>what proportion of all the other crashes to the total crashes?</t>
  </si>
  <si>
    <t>how ha sthe mix of all the crash types chnaged over time</t>
  </si>
  <si>
    <t>compare the each crash to fatilities ratio for all types of crashes?</t>
  </si>
  <si>
    <t>how ha sthe mix of all the fatilities types chnaged over time</t>
  </si>
  <si>
    <t>relation btwn total crashes vs injuries and crashes vs fatilities</t>
  </si>
  <si>
    <t>which category contributes more to crashes and fatilities</t>
  </si>
  <si>
    <t>KPI</t>
  </si>
  <si>
    <t>Crashes</t>
  </si>
  <si>
    <t>Injuries</t>
  </si>
  <si>
    <t>Fatilities</t>
  </si>
  <si>
    <t>Questions</t>
  </si>
  <si>
    <t>no</t>
  </si>
  <si>
    <t>yes</t>
  </si>
  <si>
    <t>linear</t>
  </si>
  <si>
    <t>Sparklines</t>
  </si>
  <si>
    <t>Property damage crashes &amp; Crashes with traffic fatilities</t>
  </si>
  <si>
    <t>Difference 2015 &amp;2011</t>
  </si>
  <si>
    <t>Ratio %</t>
  </si>
  <si>
    <t>what is the fatility rate per crash</t>
  </si>
  <si>
    <t>All the Doghnut Graphs</t>
  </si>
  <si>
    <t>Pie chart (Injury Crashes Vs Total Crashes)</t>
  </si>
  <si>
    <t>graph "Distribution of all crashes"</t>
  </si>
  <si>
    <t>graph"Crash and Injury Trends Over Time"</t>
  </si>
  <si>
    <t>Answers</t>
  </si>
  <si>
    <t>The Excel workbook was completed using the Data Bank 1 crash summary data from 2011 through 2015. The workbook includes the original year tabs, a Data sheet, a questions sheet and  a Dashboard sheet with charts and key performance indicators.</t>
  </si>
  <si>
    <t>Total Crashes Over the Years</t>
  </si>
  <si>
    <t>This bar graph shows the trend in total crashes from 2011 to 2015. The data indicates a continuous increase in crashes over the years, rising from 229,210 in 2011 to 374,003 in 2015, showing significant growth in road incidents during the period.</t>
  </si>
  <si>
    <t>Total Crashes vs Injury Crashes</t>
  </si>
  <si>
    <t>This pie chart compares total crashes with injury crashes to show the proportion of crashes resulting in injuries. The graph reveals that injury crashes make up a major portion of total crashes, indicating that a large number of accidents led to physical harm.</t>
  </si>
  <si>
    <t>Crash and Injury Trends over time</t>
  </si>
  <si>
    <t>This line graph compares the yearly trends of total crashes, injury crashes, and total injuries. All three categories show a steady upward trend from 2011 to 2015, suggesting that increasing crash rates also resulted in higher injury counts over time.</t>
  </si>
  <si>
    <t>Fatality Trends by Categories over time</t>
  </si>
  <si>
    <t>This line graph presents trends in total traffic fatalities, bicycle fatalities, pedestrian fatalities, and crashes involving fatalities. The graph shows that overall traffic fatalities increased noticeably by 2015, while bicycle and pedestrian fatalities remained comparatively lower but still showed gradual increases.</t>
  </si>
  <si>
    <t>Comparison of Crash Categories</t>
  </si>
  <si>
    <t>This bar graph compares different crash categories across the dataset. The graph highlights that property damage crashes and total crashes were significantly higher than the other categories, making them the most common types of crash incidents.</t>
  </si>
  <si>
    <t>Percentage Growth Across Categories from 2011 to 2015</t>
  </si>
  <si>
    <t>This bar chart displays the percentage increase in each category between 2011 and 2015. The analysis shows that commercial vehicle crashes and total crashes experienced strong growth, while some fatality-related categories showed only moderate increases over the five-year period.</t>
  </si>
  <si>
    <t>Bicycle Crashes vs Bicycle Fatalities</t>
  </si>
  <si>
    <t>This doughnut chart compares bicycle crashes with bicycle fatalities. The graph demonstrates that although bicycle crashes were relatively high, fatalities represented only a very small proportion of those incidents.</t>
  </si>
  <si>
    <t>Pedestrian Crashes vs Pedestrian Fatalities</t>
  </si>
  <si>
    <t>This doughnut chart illustrates the relationship between pedestrian crashes and pedestrian fatalities. The graph shows that pedestrian crashes were considerably higher than fatalities, indicating that most pedestrian-related accidents were non-fatal.</t>
  </si>
  <si>
    <t>Traffic Fatalities vs Crashes with Traffic Fatalities</t>
  </si>
  <si>
    <t>This doughnut chart compares total traffic fatalities with crashes involving fatalities. The graph indicates that multiple fatalities can occur within a single fatal crash, as the number of total fatalities is higher than the number of fatal crashes.</t>
  </si>
  <si>
    <t>Chart Title</t>
  </si>
  <si>
    <t>Interpretation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</si>
</sst>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u/>
      <sz val="12"/>
      <color theme="1"/>
      <name val="Calibri"/>
      <family val="2"/>
      <scheme val="minor"/>
    </font>
    <font>
      <sz val="8"/>
      <name val="Calibri"/>
      <family val="2"/>
      <scheme val="minor"/>
    </font>
    <font>
      <sz val="11"/>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9"/>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5">
    <xf numFmtId="0" fontId="0" fillId="0" borderId="0" xfId="0"/>
    <xf numFmtId="0" fontId="0" fillId="0" borderId="1" xfId="0" applyBorder="1"/>
    <xf numFmtId="0" fontId="0" fillId="0" borderId="1" xfId="0" applyBorder="1" applyAlignment="1">
      <alignment horizontal="center"/>
    </xf>
    <xf numFmtId="0" fontId="0" fillId="2" borderId="1" xfId="0" applyFill="1" applyBorder="1" applyAlignment="1">
      <alignment horizontal="center"/>
    </xf>
    <xf numFmtId="0" fontId="1" fillId="0" borderId="1" xfId="0" applyFont="1" applyBorder="1"/>
    <xf numFmtId="3" fontId="0" fillId="0" borderId="1" xfId="0" applyNumberFormat="1" applyBorder="1"/>
    <xf numFmtId="0" fontId="0" fillId="3" borderId="2" xfId="0" applyFill="1" applyBorder="1" applyAlignment="1">
      <alignment horizontal="center"/>
    </xf>
    <xf numFmtId="0" fontId="0" fillId="0" borderId="3" xfId="0" applyBorder="1" applyAlignment="1">
      <alignment horizontal="center"/>
    </xf>
    <xf numFmtId="0" fontId="0" fillId="3" borderId="6" xfId="0" applyFill="1" applyBorder="1" applyAlignment="1">
      <alignment horizontal="center"/>
    </xf>
    <xf numFmtId="0" fontId="0" fillId="0" borderId="8" xfId="0" applyBorder="1" applyAlignment="1">
      <alignment horizontal="center"/>
    </xf>
    <xf numFmtId="0" fontId="0" fillId="0" borderId="7" xfId="0" applyBorder="1" applyAlignment="1">
      <alignment horizontal="center"/>
    </xf>
    <xf numFmtId="0" fontId="3" fillId="3" borderId="4" xfId="0" applyFont="1" applyFill="1" applyBorder="1" applyAlignment="1">
      <alignment horizontal="center"/>
    </xf>
    <xf numFmtId="0" fontId="3" fillId="2" borderId="9" xfId="0" applyFont="1" applyFill="1" applyBorder="1" applyAlignment="1">
      <alignment horizontal="center"/>
    </xf>
    <xf numFmtId="0" fontId="3" fillId="2" borderId="5" xfId="0" applyFont="1" applyFill="1" applyBorder="1" applyAlignment="1">
      <alignment horizontal="center"/>
    </xf>
    <xf numFmtId="0" fontId="0" fillId="0" borderId="9" xfId="0" applyBorder="1" applyAlignment="1">
      <alignment horizontal="center"/>
    </xf>
    <xf numFmtId="0" fontId="0" fillId="0" borderId="0" xfId="0" applyAlignment="1">
      <alignment horizontal="center"/>
    </xf>
    <xf numFmtId="2" fontId="0" fillId="0" borderId="9" xfId="0" applyNumberFormat="1" applyBorder="1" applyAlignment="1">
      <alignment horizontal="center"/>
    </xf>
    <xf numFmtId="0" fontId="4" fillId="2" borderId="1" xfId="0" applyFont="1" applyFill="1" applyBorder="1" applyAlignment="1">
      <alignment horizontal="center"/>
    </xf>
    <xf numFmtId="0" fontId="4" fillId="2" borderId="0" xfId="0" applyFont="1" applyFill="1" applyAlignment="1">
      <alignment horizontal="center"/>
    </xf>
    <xf numFmtId="0" fontId="0" fillId="0" borderId="0" xfId="0" applyAlignment="1">
      <alignment horizontal="justify" vertical="center"/>
    </xf>
    <xf numFmtId="0" fontId="4" fillId="0" borderId="1" xfId="0" applyFont="1" applyBorder="1" applyAlignment="1">
      <alignment horizontal="center" vertical="center" wrapText="1"/>
    </xf>
    <xf numFmtId="0" fontId="4" fillId="0" borderId="1" xfId="0" applyFont="1" applyBorder="1" applyAlignment="1">
      <alignment horizont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0" fillId="0" borderId="0" xfId="0" applyAlignment="1">
      <alignment vertical="center"/>
    </xf>
  </cellXfs>
  <cellStyles count="1">
    <cellStyle name="Normal" xfId="0" builtinId="0"/>
  </cellStyles>
  <dxfs count="15">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strike val="0"/>
        <outline val="0"/>
        <shadow val="0"/>
        <u val="none"/>
        <vertAlign val="baseline"/>
        <sz val="11"/>
        <color auto="1"/>
        <name val="Calibri"/>
        <family val="2"/>
        <scheme val="minor"/>
      </font>
      <fill>
        <patternFill patternType="solid">
          <fgColor indexed="64"/>
          <bgColor rgb="FFFFFF00"/>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a:t>
            </a:r>
            <a:r>
              <a:rPr lang="en-US" b="1" baseline="0"/>
              <a:t> Crashes over Years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Data!$B$1</c:f>
              <c:strCache>
                <c:ptCount val="1"/>
                <c:pt idx="0">
                  <c:v>2011</c:v>
                </c:pt>
              </c:strCache>
            </c:strRef>
          </c:tx>
          <c:spPr>
            <a:solidFill>
              <a:schemeClr val="accent1"/>
            </a:solidFill>
            <a:ln>
              <a:noFill/>
            </a:ln>
            <a:effectLst/>
          </c:spPr>
          <c:invertIfNegative val="0"/>
          <c:cat>
            <c:strRef>
              <c:extLst>
                <c:ext xmlns:c15="http://schemas.microsoft.com/office/drawing/2012/chart" uri="{02D57815-91ED-43cb-92C2-25804820EDAC}">
                  <c15:fullRef>
                    <c15:sqref>Data!$A$2:$A$13</c15:sqref>
                  </c15:fullRef>
                </c:ext>
              </c:extLst>
              <c:f>Data!$A$2</c:f>
              <c:strCache>
                <c:ptCount val="1"/>
                <c:pt idx="0">
                  <c:v>Total Crashes:</c:v>
                </c:pt>
              </c:strCache>
            </c:strRef>
          </c:cat>
          <c:val>
            <c:numRef>
              <c:extLst>
                <c:ext xmlns:c15="http://schemas.microsoft.com/office/drawing/2012/chart" uri="{02D57815-91ED-43cb-92C2-25804820EDAC}">
                  <c15:fullRef>
                    <c15:sqref>Data!$B$2:$B$13</c15:sqref>
                  </c15:fullRef>
                </c:ext>
              </c:extLst>
              <c:f>Data!$B$2</c:f>
              <c:numCache>
                <c:formatCode>General</c:formatCode>
                <c:ptCount val="1"/>
                <c:pt idx="0">
                  <c:v>229210</c:v>
                </c:pt>
              </c:numCache>
            </c:numRef>
          </c:val>
          <c:extLst>
            <c:ext xmlns:c16="http://schemas.microsoft.com/office/drawing/2014/chart" uri="{C3380CC4-5D6E-409C-BE32-E72D297353CC}">
              <c16:uniqueId val="{00000000-D76C-4E38-B38C-8F22C480AE19}"/>
            </c:ext>
          </c:extLst>
        </c:ser>
        <c:ser>
          <c:idx val="1"/>
          <c:order val="1"/>
          <c:tx>
            <c:strRef>
              <c:f>Data!$C$1</c:f>
              <c:strCache>
                <c:ptCount val="1"/>
                <c:pt idx="0">
                  <c:v>2012</c:v>
                </c:pt>
              </c:strCache>
            </c:strRef>
          </c:tx>
          <c:spPr>
            <a:solidFill>
              <a:schemeClr val="accent2"/>
            </a:solidFill>
            <a:ln>
              <a:noFill/>
            </a:ln>
            <a:effectLst/>
          </c:spPr>
          <c:invertIfNegative val="0"/>
          <c:cat>
            <c:strRef>
              <c:extLst>
                <c:ext xmlns:c15="http://schemas.microsoft.com/office/drawing/2012/chart" uri="{02D57815-91ED-43cb-92C2-25804820EDAC}">
                  <c15:fullRef>
                    <c15:sqref>Data!$A$2:$A$13</c15:sqref>
                  </c15:fullRef>
                </c:ext>
              </c:extLst>
              <c:f>Data!$A$2</c:f>
              <c:strCache>
                <c:ptCount val="1"/>
                <c:pt idx="0">
                  <c:v>Total Crashes:</c:v>
                </c:pt>
              </c:strCache>
            </c:strRef>
          </c:cat>
          <c:val>
            <c:numRef>
              <c:extLst>
                <c:ext xmlns:c15="http://schemas.microsoft.com/office/drawing/2012/chart" uri="{02D57815-91ED-43cb-92C2-25804820EDAC}">
                  <c15:fullRef>
                    <c15:sqref>Data!$C$2:$C$13</c15:sqref>
                  </c15:fullRef>
                </c:ext>
              </c:extLst>
              <c:f>Data!$C$2</c:f>
              <c:numCache>
                <c:formatCode>General</c:formatCode>
                <c:ptCount val="1"/>
                <c:pt idx="0">
                  <c:v>283367</c:v>
                </c:pt>
              </c:numCache>
            </c:numRef>
          </c:val>
          <c:extLst>
            <c:ext xmlns:c16="http://schemas.microsoft.com/office/drawing/2014/chart" uri="{C3380CC4-5D6E-409C-BE32-E72D297353CC}">
              <c16:uniqueId val="{00000001-D76C-4E38-B38C-8F22C480AE19}"/>
            </c:ext>
          </c:extLst>
        </c:ser>
        <c:ser>
          <c:idx val="2"/>
          <c:order val="2"/>
          <c:tx>
            <c:strRef>
              <c:f>Data!$D$1</c:f>
              <c:strCache>
                <c:ptCount val="1"/>
                <c:pt idx="0">
                  <c:v>2013</c:v>
                </c:pt>
              </c:strCache>
            </c:strRef>
          </c:tx>
          <c:spPr>
            <a:solidFill>
              <a:schemeClr val="accent3"/>
            </a:solidFill>
            <a:ln>
              <a:noFill/>
            </a:ln>
            <a:effectLst/>
          </c:spPr>
          <c:invertIfNegative val="0"/>
          <c:cat>
            <c:strRef>
              <c:extLst>
                <c:ext xmlns:c15="http://schemas.microsoft.com/office/drawing/2012/chart" uri="{02D57815-91ED-43cb-92C2-25804820EDAC}">
                  <c15:fullRef>
                    <c15:sqref>Data!$A$2:$A$13</c15:sqref>
                  </c15:fullRef>
                </c:ext>
              </c:extLst>
              <c:f>Data!$A$2</c:f>
              <c:strCache>
                <c:ptCount val="1"/>
                <c:pt idx="0">
                  <c:v>Total Crashes:</c:v>
                </c:pt>
              </c:strCache>
            </c:strRef>
          </c:cat>
          <c:val>
            <c:numRef>
              <c:extLst>
                <c:ext xmlns:c15="http://schemas.microsoft.com/office/drawing/2012/chart" uri="{02D57815-91ED-43cb-92C2-25804820EDAC}">
                  <c15:fullRef>
                    <c15:sqref>Data!$D$2:$D$13</c15:sqref>
                  </c15:fullRef>
                </c:ext>
              </c:extLst>
              <c:f>Data!$D$2</c:f>
              <c:numCache>
                <c:formatCode>General</c:formatCode>
                <c:ptCount val="1"/>
                <c:pt idx="0">
                  <c:v>317197</c:v>
                </c:pt>
              </c:numCache>
            </c:numRef>
          </c:val>
          <c:extLst>
            <c:ext xmlns:c16="http://schemas.microsoft.com/office/drawing/2014/chart" uri="{C3380CC4-5D6E-409C-BE32-E72D297353CC}">
              <c16:uniqueId val="{00000002-D76C-4E38-B38C-8F22C480AE19}"/>
            </c:ext>
          </c:extLst>
        </c:ser>
        <c:ser>
          <c:idx val="3"/>
          <c:order val="3"/>
          <c:tx>
            <c:strRef>
              <c:f>Data!$E$1</c:f>
              <c:strCache>
                <c:ptCount val="1"/>
                <c:pt idx="0">
                  <c:v>2014</c:v>
                </c:pt>
              </c:strCache>
            </c:strRef>
          </c:tx>
          <c:spPr>
            <a:solidFill>
              <a:schemeClr val="accent4"/>
            </a:solidFill>
            <a:ln>
              <a:noFill/>
            </a:ln>
            <a:effectLst/>
          </c:spPr>
          <c:invertIfNegative val="0"/>
          <c:cat>
            <c:strRef>
              <c:extLst>
                <c:ext xmlns:c15="http://schemas.microsoft.com/office/drawing/2012/chart" uri="{02D57815-91ED-43cb-92C2-25804820EDAC}">
                  <c15:fullRef>
                    <c15:sqref>Data!$A$2:$A$13</c15:sqref>
                  </c15:fullRef>
                </c:ext>
              </c:extLst>
              <c:f>Data!$A$2</c:f>
              <c:strCache>
                <c:ptCount val="1"/>
                <c:pt idx="0">
                  <c:v>Total Crashes:</c:v>
                </c:pt>
              </c:strCache>
            </c:strRef>
          </c:cat>
          <c:val>
            <c:numRef>
              <c:extLst>
                <c:ext xmlns:c15="http://schemas.microsoft.com/office/drawing/2012/chart" uri="{02D57815-91ED-43cb-92C2-25804820EDAC}">
                  <c15:fullRef>
                    <c15:sqref>Data!$E$2:$E$13</c15:sqref>
                  </c15:fullRef>
                </c:ext>
              </c:extLst>
              <c:f>Data!$E$2</c:f>
              <c:numCache>
                <c:formatCode>General</c:formatCode>
                <c:ptCount val="1"/>
                <c:pt idx="0">
                  <c:v>344336</c:v>
                </c:pt>
              </c:numCache>
            </c:numRef>
          </c:val>
          <c:extLst>
            <c:ext xmlns:c16="http://schemas.microsoft.com/office/drawing/2014/chart" uri="{C3380CC4-5D6E-409C-BE32-E72D297353CC}">
              <c16:uniqueId val="{00000003-D76C-4E38-B38C-8F22C480AE19}"/>
            </c:ext>
          </c:extLst>
        </c:ser>
        <c:ser>
          <c:idx val="4"/>
          <c:order val="4"/>
          <c:tx>
            <c:strRef>
              <c:f>Data!$F$1</c:f>
              <c:strCache>
                <c:ptCount val="1"/>
                <c:pt idx="0">
                  <c:v>2015</c:v>
                </c:pt>
              </c:strCache>
            </c:strRef>
          </c:tx>
          <c:spPr>
            <a:solidFill>
              <a:schemeClr val="accent5"/>
            </a:solidFill>
            <a:ln>
              <a:noFill/>
            </a:ln>
            <a:effectLst/>
          </c:spPr>
          <c:invertIfNegative val="0"/>
          <c:cat>
            <c:strRef>
              <c:extLst>
                <c:ext xmlns:c15="http://schemas.microsoft.com/office/drawing/2012/chart" uri="{02D57815-91ED-43cb-92C2-25804820EDAC}">
                  <c15:fullRef>
                    <c15:sqref>Data!$A$2:$A$13</c15:sqref>
                  </c15:fullRef>
                </c:ext>
              </c:extLst>
              <c:f>Data!$A$2</c:f>
              <c:strCache>
                <c:ptCount val="1"/>
                <c:pt idx="0">
                  <c:v>Total Crashes:</c:v>
                </c:pt>
              </c:strCache>
            </c:strRef>
          </c:cat>
          <c:val>
            <c:numRef>
              <c:extLst>
                <c:ext xmlns:c15="http://schemas.microsoft.com/office/drawing/2012/chart" uri="{02D57815-91ED-43cb-92C2-25804820EDAC}">
                  <c15:fullRef>
                    <c15:sqref>Data!$F$2:$F$13</c15:sqref>
                  </c15:fullRef>
                </c:ext>
              </c:extLst>
              <c:f>Data!$F$2</c:f>
              <c:numCache>
                <c:formatCode>General</c:formatCode>
                <c:ptCount val="1"/>
                <c:pt idx="0">
                  <c:v>374003</c:v>
                </c:pt>
              </c:numCache>
            </c:numRef>
          </c:val>
          <c:extLst>
            <c:ext xmlns:c16="http://schemas.microsoft.com/office/drawing/2014/chart" uri="{C3380CC4-5D6E-409C-BE32-E72D297353CC}">
              <c16:uniqueId val="{00000004-D76C-4E38-B38C-8F22C480AE19}"/>
            </c:ext>
          </c:extLst>
        </c:ser>
        <c:dLbls>
          <c:showLegendKey val="0"/>
          <c:showVal val="0"/>
          <c:showCatName val="0"/>
          <c:showSerName val="0"/>
          <c:showPercent val="0"/>
          <c:showBubbleSize val="0"/>
        </c:dLbls>
        <c:gapWidth val="219"/>
        <c:overlap val="-27"/>
        <c:axId val="1588634848"/>
        <c:axId val="1588636288"/>
        <c:extLst>
          <c:ext xmlns:c15="http://schemas.microsoft.com/office/drawing/2012/chart" uri="{02D57815-91ED-43cb-92C2-25804820EDAC}">
            <c15:filteredBarSeries>
              <c15:ser>
                <c:idx val="5"/>
                <c:order val="5"/>
                <c:tx>
                  <c:strRef>
                    <c:extLst>
                      <c:ext uri="{02D57815-91ED-43cb-92C2-25804820EDAC}">
                        <c15:formulaRef>
                          <c15:sqref>Data!$G$1</c15:sqref>
                        </c15:formulaRef>
                      </c:ext>
                    </c:extLst>
                    <c:strCache>
                      <c:ptCount val="1"/>
                      <c:pt idx="0">
                        <c:v>Sum</c:v>
                      </c:pt>
                    </c:strCache>
                  </c:strRef>
                </c:tx>
                <c:spPr>
                  <a:solidFill>
                    <a:schemeClr val="accent6"/>
                  </a:solidFill>
                  <a:ln>
                    <a:noFill/>
                  </a:ln>
                  <a:effectLst/>
                </c:spPr>
                <c:invertIfNegative val="0"/>
                <c:cat>
                  <c:strRef>
                    <c:extLst>
                      <c:ext uri="{02D57815-91ED-43cb-92C2-25804820EDAC}">
                        <c15:fullRef>
                          <c15:sqref>Data!$A$2:$A$13</c15:sqref>
                        </c15:fullRef>
                        <c15:formulaRef>
                          <c15:sqref>Data!$A$2</c15:sqref>
                        </c15:formulaRef>
                      </c:ext>
                    </c:extLst>
                    <c:strCache>
                      <c:ptCount val="1"/>
                      <c:pt idx="0">
                        <c:v>Total Crashes:</c:v>
                      </c:pt>
                    </c:strCache>
                  </c:strRef>
                </c:cat>
                <c:val>
                  <c:numRef>
                    <c:extLst>
                      <c:ext uri="{02D57815-91ED-43cb-92C2-25804820EDAC}">
                        <c15:fullRef>
                          <c15:sqref>Data!$G$2:$G$13</c15:sqref>
                        </c15:fullRef>
                        <c15:formulaRef>
                          <c15:sqref>Data!$G$2</c15:sqref>
                        </c15:formulaRef>
                      </c:ext>
                    </c:extLst>
                    <c:numCache>
                      <c:formatCode>General</c:formatCode>
                      <c:ptCount val="1"/>
                      <c:pt idx="0">
                        <c:v>1548113</c:v>
                      </c:pt>
                    </c:numCache>
                  </c:numRef>
                </c:val>
                <c:extLst>
                  <c:ext xmlns:c16="http://schemas.microsoft.com/office/drawing/2014/chart" uri="{C3380CC4-5D6E-409C-BE32-E72D297353CC}">
                    <c16:uniqueId val="{00000005-D76C-4E38-B38C-8F22C480AE19}"/>
                  </c:ext>
                </c:extLst>
              </c15:ser>
            </c15:filteredBarSeries>
            <c15:filteredBarSeries>
              <c15:ser>
                <c:idx val="6"/>
                <c:order val="6"/>
                <c:tx>
                  <c:strRef>
                    <c:extLst>
                      <c:ext xmlns:c15="http://schemas.microsoft.com/office/drawing/2012/chart" uri="{02D57815-91ED-43cb-92C2-25804820EDAC}">
                        <c15:formulaRef>
                          <c15:sqref>Data!$H$1</c15:sqref>
                        </c15:formulaRef>
                      </c:ext>
                    </c:extLst>
                    <c:strCache>
                      <c:ptCount val="1"/>
                      <c:pt idx="0">
                        <c:v>Difference 2015 &amp;2011</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Data!$A$2:$A$13</c15:sqref>
                        </c15:fullRef>
                        <c15:formulaRef>
                          <c15:sqref>Data!$A$2</c15:sqref>
                        </c15:formulaRef>
                      </c:ext>
                    </c:extLst>
                    <c:strCache>
                      <c:ptCount val="1"/>
                      <c:pt idx="0">
                        <c:v>Total Crashes:</c:v>
                      </c:pt>
                    </c:strCache>
                  </c:strRef>
                </c:cat>
                <c:val>
                  <c:numRef>
                    <c:extLst>
                      <c:ext xmlns:c15="http://schemas.microsoft.com/office/drawing/2012/chart" uri="{02D57815-91ED-43cb-92C2-25804820EDAC}">
                        <c15:fullRef>
                          <c15:sqref>Data!$H$2:$H$13</c15:sqref>
                        </c15:fullRef>
                        <c15:formulaRef>
                          <c15:sqref>Data!$H$2</c15:sqref>
                        </c15:formulaRef>
                      </c:ext>
                    </c:extLst>
                    <c:numCache>
                      <c:formatCode>General</c:formatCode>
                      <c:ptCount val="1"/>
                      <c:pt idx="0">
                        <c:v>144793</c:v>
                      </c:pt>
                    </c:numCache>
                  </c:numRef>
                </c:val>
                <c:extLst xmlns:c15="http://schemas.microsoft.com/office/drawing/2012/chart">
                  <c:ext xmlns:c16="http://schemas.microsoft.com/office/drawing/2014/chart" uri="{C3380CC4-5D6E-409C-BE32-E72D297353CC}">
                    <c16:uniqueId val="{00000000-1C8D-48D4-BE21-CE580F07A889}"/>
                  </c:ext>
                </c:extLst>
              </c15:ser>
            </c15:filteredBarSeries>
            <c15:filteredBarSeries>
              <c15:ser>
                <c:idx val="7"/>
                <c:order val="7"/>
                <c:tx>
                  <c:strRef>
                    <c:extLst>
                      <c:ext xmlns:c15="http://schemas.microsoft.com/office/drawing/2012/chart" uri="{02D57815-91ED-43cb-92C2-25804820EDAC}">
                        <c15:formulaRef>
                          <c15:sqref>Data!$I$1</c15:sqref>
                        </c15:formulaRef>
                      </c:ext>
                    </c:extLst>
                    <c:strCache>
                      <c:ptCount val="1"/>
                      <c:pt idx="0">
                        <c:v>Ratio %</c:v>
                      </c:pt>
                    </c:strCache>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Data!$A$2:$A$13</c15:sqref>
                        </c15:fullRef>
                        <c15:formulaRef>
                          <c15:sqref>Data!$A$2</c15:sqref>
                        </c15:formulaRef>
                      </c:ext>
                    </c:extLst>
                    <c:strCache>
                      <c:ptCount val="1"/>
                      <c:pt idx="0">
                        <c:v>Total Crashes:</c:v>
                      </c:pt>
                    </c:strCache>
                  </c:strRef>
                </c:cat>
                <c:val>
                  <c:numRef>
                    <c:extLst>
                      <c:ext xmlns:c15="http://schemas.microsoft.com/office/drawing/2012/chart" uri="{02D57815-91ED-43cb-92C2-25804820EDAC}">
                        <c15:fullRef>
                          <c15:sqref>Data!$I$2:$I$13</c15:sqref>
                        </c15:fullRef>
                        <c15:formulaRef>
                          <c15:sqref>Data!$I$2</c15:sqref>
                        </c15:formulaRef>
                      </c:ext>
                    </c:extLst>
                    <c:numCache>
                      <c:formatCode>0.00</c:formatCode>
                      <c:ptCount val="1"/>
                      <c:pt idx="0">
                        <c:v>63.170455041228571</c:v>
                      </c:pt>
                    </c:numCache>
                  </c:numRef>
                </c:val>
                <c:extLst xmlns:c15="http://schemas.microsoft.com/office/drawing/2012/chart">
                  <c:ext xmlns:c16="http://schemas.microsoft.com/office/drawing/2014/chart" uri="{C3380CC4-5D6E-409C-BE32-E72D297353CC}">
                    <c16:uniqueId val="{00000001-1C8D-48D4-BE21-CE580F07A889}"/>
                  </c:ext>
                </c:extLst>
              </c15:ser>
            </c15:filteredBarSeries>
            <c15:filteredBarSeries>
              <c15:ser>
                <c:idx val="8"/>
                <c:order val="8"/>
                <c:tx>
                  <c:strRef>
                    <c:extLst>
                      <c:ext xmlns:c15="http://schemas.microsoft.com/office/drawing/2012/chart" uri="{02D57815-91ED-43cb-92C2-25804820EDAC}">
                        <c15:formulaRef>
                          <c15:sqref>Data!$J$1</c15:sqref>
                        </c15:formulaRef>
                      </c:ext>
                    </c:extLst>
                    <c:strCache>
                      <c:ptCount val="1"/>
                      <c:pt idx="0">
                        <c:v>Sparklines</c:v>
                      </c:pt>
                    </c:strCache>
                  </c:strRef>
                </c:tx>
                <c:spPr>
                  <a:solidFill>
                    <a:schemeClr val="accent3">
                      <a:lumMod val="60000"/>
                    </a:schemeClr>
                  </a:solidFill>
                  <a:ln>
                    <a:noFill/>
                  </a:ln>
                  <a:effectLst/>
                </c:spPr>
                <c:invertIfNegative val="0"/>
                <c:cat>
                  <c:strRef>
                    <c:extLst>
                      <c:ext xmlns:c15="http://schemas.microsoft.com/office/drawing/2012/chart" uri="{02D57815-91ED-43cb-92C2-25804820EDAC}">
                        <c15:fullRef>
                          <c15:sqref>Data!$A$2:$A$13</c15:sqref>
                        </c15:fullRef>
                        <c15:formulaRef>
                          <c15:sqref>Data!$A$2</c15:sqref>
                        </c15:formulaRef>
                      </c:ext>
                    </c:extLst>
                    <c:strCache>
                      <c:ptCount val="1"/>
                      <c:pt idx="0">
                        <c:v>Total Crashes:</c:v>
                      </c:pt>
                    </c:strCache>
                  </c:strRef>
                </c:cat>
                <c:val>
                  <c:numRef>
                    <c:extLst>
                      <c:ext xmlns:c15="http://schemas.microsoft.com/office/drawing/2012/chart" uri="{02D57815-91ED-43cb-92C2-25804820EDAC}">
                        <c15:fullRef>
                          <c15:sqref>Data!$J$2:$J$13</c15:sqref>
                        </c15:fullRef>
                        <c15:formulaRef>
                          <c15:sqref>Data!$J$2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2-1C8D-48D4-BE21-CE580F07A889}"/>
                  </c:ext>
                </c:extLst>
              </c15:ser>
            </c15:filteredBarSeries>
          </c:ext>
        </c:extLst>
      </c:barChart>
      <c:catAx>
        <c:axId val="1588634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88636288"/>
        <c:crosses val="autoZero"/>
        <c:auto val="1"/>
        <c:lblAlgn val="ctr"/>
        <c:lblOffset val="100"/>
        <c:noMultiLvlLbl val="0"/>
      </c:catAx>
      <c:valAx>
        <c:axId val="1588636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63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Total Crashes </a:t>
            </a:r>
            <a:r>
              <a:rPr lang="en-US" sz="1400" b="1" baseline="0"/>
              <a:t>Vs </a:t>
            </a:r>
            <a:r>
              <a:rPr lang="en-US" sz="1400" b="1" i="0" u="none" strike="noStrike" kern="1200" spc="0" baseline="0">
                <a:solidFill>
                  <a:sysClr val="windowText" lastClr="000000">
                    <a:lumMod val="65000"/>
                    <a:lumOff val="35000"/>
                  </a:sysClr>
                </a:solidFill>
              </a:rPr>
              <a:t>Injury Crashes </a:t>
            </a:r>
            <a:endParaRPr lang="en-US" sz="1400" b="1"/>
          </a:p>
        </c:rich>
      </c:tx>
      <c:layout>
        <c:manualLayout>
          <c:xMode val="edge"/>
          <c:yMode val="edge"/>
          <c:x val="0.19845283543277065"/>
          <c:y val="2.955082742316785E-2"/>
        </c:manualLayout>
      </c:layout>
      <c:overlay val="0"/>
      <c:spPr>
        <a:noFill/>
        <a:ln>
          <a:noFill/>
        </a:ln>
        <a:effectLst/>
      </c:spPr>
    </c:title>
    <c:autoTitleDeleted val="0"/>
    <c:plotArea>
      <c:layout/>
      <c:pieChart>
        <c:varyColors val="1"/>
        <c:ser>
          <c:idx val="5"/>
          <c:order val="5"/>
          <c:tx>
            <c:strRef>
              <c:f>Data!$G$1</c:f>
              <c:strCache>
                <c:ptCount val="1"/>
                <c:pt idx="0">
                  <c:v>Sum</c:v>
                </c:pt>
              </c:strCache>
            </c:strRef>
          </c:tx>
          <c:spPr>
            <a:ln>
              <a:solidFill>
                <a:schemeClr val="tx1"/>
              </a:solidFill>
            </a:ln>
          </c:spPr>
          <c:dPt>
            <c:idx val="0"/>
            <c:bubble3D val="0"/>
            <c:spPr>
              <a:solidFill>
                <a:schemeClr val="accent1"/>
              </a:solidFill>
              <a:ln>
                <a:solidFill>
                  <a:schemeClr val="tx1"/>
                </a:solidFill>
              </a:ln>
              <a:effectLst/>
            </c:spPr>
            <c:extLst>
              <c:ext xmlns:c16="http://schemas.microsoft.com/office/drawing/2014/chart" uri="{C3380CC4-5D6E-409C-BE32-E72D297353CC}">
                <c16:uniqueId val="{00000001-0ACF-433A-BE37-E358A011CBD1}"/>
              </c:ext>
            </c:extLst>
          </c:dPt>
          <c:dPt>
            <c:idx val="1"/>
            <c:bubble3D val="0"/>
            <c:spPr>
              <a:solidFill>
                <a:schemeClr val="bg2">
                  <a:lumMod val="50000"/>
                </a:schemeClr>
              </a:solidFill>
              <a:ln>
                <a:solidFill>
                  <a:schemeClr val="tx1"/>
                </a:solidFill>
              </a:ln>
              <a:effectLst/>
            </c:spPr>
            <c:extLst>
              <c:ext xmlns:c16="http://schemas.microsoft.com/office/drawing/2014/chart" uri="{C3380CC4-5D6E-409C-BE32-E72D297353CC}">
                <c16:uniqueId val="{0000000C-66B1-47EB-983C-ACC679A02C01}"/>
              </c:ext>
            </c:extLst>
          </c:dPt>
          <c:dLbls>
            <c:dLbl>
              <c:idx val="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extLst>
                <c:ext xmlns:c16="http://schemas.microsoft.com/office/drawing/2014/chart" uri="{C3380CC4-5D6E-409C-BE32-E72D297353CC}">
                  <c16:uniqueId val="{0000000C-66B1-47EB-983C-ACC679A02C0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showLeaderLines val="0"/>
            <c:extLst>
              <c:ext xmlns:c15="http://schemas.microsoft.com/office/drawing/2012/chart" uri="{CE6537A1-D6FC-4f65-9D91-7224C49458BB}"/>
            </c:extLst>
          </c:dLbls>
          <c:cat>
            <c:strRef>
              <c:extLst>
                <c:ext xmlns:c15="http://schemas.microsoft.com/office/drawing/2012/chart" uri="{02D57815-91ED-43cb-92C2-25804820EDAC}">
                  <c15:fullRef>
                    <c15:sqref>Data!$A$2:$A$13</c15:sqref>
                  </c15:fullRef>
                </c:ext>
              </c:extLst>
              <c:f>Data!$A$2:$A$3</c:f>
              <c:strCache>
                <c:ptCount val="2"/>
                <c:pt idx="0">
                  <c:v>Total Crashes:</c:v>
                </c:pt>
                <c:pt idx="1">
                  <c:v>Injury Crashes:</c:v>
                </c:pt>
              </c:strCache>
            </c:strRef>
          </c:cat>
          <c:val>
            <c:numRef>
              <c:extLst>
                <c:ext xmlns:c15="http://schemas.microsoft.com/office/drawing/2012/chart" uri="{02D57815-91ED-43cb-92C2-25804820EDAC}">
                  <c15:fullRef>
                    <c15:sqref>Data!$G$2:$G$13</c15:sqref>
                  </c15:fullRef>
                </c:ext>
              </c:extLst>
              <c:f>Data!$G$2:$G$3</c:f>
              <c:numCache>
                <c:formatCode>General</c:formatCode>
                <c:ptCount val="2"/>
                <c:pt idx="0">
                  <c:v>1548113</c:v>
                </c:pt>
                <c:pt idx="1">
                  <c:v>697952</c:v>
                </c:pt>
              </c:numCache>
            </c:numRef>
          </c:val>
          <c:extLst>
            <c:ext xmlns:c16="http://schemas.microsoft.com/office/drawing/2014/chart" uri="{C3380CC4-5D6E-409C-BE32-E72D297353CC}">
              <c16:uniqueId val="{00000005-66B1-47EB-983C-ACC679A02C01}"/>
            </c:ext>
          </c:extLst>
        </c:ser>
        <c:ser>
          <c:idx val="6"/>
          <c:order val="6"/>
          <c:tx>
            <c:strRef>
              <c:f>Data!$H$1</c:f>
              <c:strCache>
                <c:ptCount val="1"/>
                <c:pt idx="0">
                  <c:v>Difference 2015 &amp;2011</c:v>
                </c:pt>
              </c:strCache>
            </c:strRef>
          </c:tx>
          <c:cat>
            <c:strRef>
              <c:extLst>
                <c:ext xmlns:c15="http://schemas.microsoft.com/office/drawing/2012/chart" uri="{02D57815-91ED-43cb-92C2-25804820EDAC}">
                  <c15:fullRef>
                    <c15:sqref>Data!$A$2:$A$13</c15:sqref>
                  </c15:fullRef>
                </c:ext>
              </c:extLst>
              <c:f>Data!$A$2:$A$3</c:f>
              <c:strCache>
                <c:ptCount val="2"/>
                <c:pt idx="0">
                  <c:v>Total Crashes:</c:v>
                </c:pt>
                <c:pt idx="1">
                  <c:v>Injury Crashes:</c:v>
                </c:pt>
              </c:strCache>
            </c:strRef>
          </c:cat>
          <c:val>
            <c:numRef>
              <c:extLst>
                <c:ext xmlns:c15="http://schemas.microsoft.com/office/drawing/2012/chart" uri="{02D57815-91ED-43cb-92C2-25804820EDAC}">
                  <c15:fullRef>
                    <c15:sqref>Data!$H$2:$H$13</c15:sqref>
                  </c15:fullRef>
                </c:ext>
              </c:extLst>
              <c:f>Data!$H$2:$H$3</c:f>
              <c:numCache>
                <c:formatCode>General</c:formatCode>
                <c:ptCount val="2"/>
                <c:pt idx="0">
                  <c:v>144793</c:v>
                </c:pt>
                <c:pt idx="1">
                  <c:v>41608</c:v>
                </c:pt>
              </c:numCache>
            </c:numRef>
          </c:val>
          <c:extLst>
            <c:ext xmlns:c16="http://schemas.microsoft.com/office/drawing/2014/chart" uri="{C3380CC4-5D6E-409C-BE32-E72D297353CC}">
              <c16:uniqueId val="{00000018-0ACF-433A-BE37-E358A011CBD1}"/>
            </c:ext>
          </c:extLst>
        </c:ser>
        <c:ser>
          <c:idx val="7"/>
          <c:order val="7"/>
          <c:tx>
            <c:strRef>
              <c:f>Data!$I$1</c:f>
              <c:strCache>
                <c:ptCount val="1"/>
                <c:pt idx="0">
                  <c:v>Ratio %</c:v>
                </c:pt>
              </c:strCache>
            </c:strRef>
          </c:tx>
          <c:cat>
            <c:strRef>
              <c:extLst>
                <c:ext xmlns:c15="http://schemas.microsoft.com/office/drawing/2012/chart" uri="{02D57815-91ED-43cb-92C2-25804820EDAC}">
                  <c15:fullRef>
                    <c15:sqref>Data!$A$2:$A$13</c15:sqref>
                  </c15:fullRef>
                </c:ext>
              </c:extLst>
              <c:f>Data!$A$2:$A$3</c:f>
              <c:strCache>
                <c:ptCount val="2"/>
                <c:pt idx="0">
                  <c:v>Total Crashes:</c:v>
                </c:pt>
                <c:pt idx="1">
                  <c:v>Injury Crashes:</c:v>
                </c:pt>
              </c:strCache>
            </c:strRef>
          </c:cat>
          <c:val>
            <c:numRef>
              <c:extLst>
                <c:ext xmlns:c15="http://schemas.microsoft.com/office/drawing/2012/chart" uri="{02D57815-91ED-43cb-92C2-25804820EDAC}">
                  <c15:fullRef>
                    <c15:sqref>Data!$I$2:$I$13</c15:sqref>
                  </c15:fullRef>
                </c:ext>
              </c:extLst>
              <c:f>Data!$I$2:$I$3</c:f>
              <c:numCache>
                <c:formatCode>0.00</c:formatCode>
                <c:ptCount val="2"/>
                <c:pt idx="0">
                  <c:v>63.170455041228571</c:v>
                </c:pt>
                <c:pt idx="1">
                  <c:v>35.214164205252338</c:v>
                </c:pt>
              </c:numCache>
            </c:numRef>
          </c:val>
          <c:extLst>
            <c:ext xmlns:c16="http://schemas.microsoft.com/office/drawing/2014/chart" uri="{C3380CC4-5D6E-409C-BE32-E72D297353CC}">
              <c16:uniqueId val="{00000019-0ACF-433A-BE37-E358A011CBD1}"/>
            </c:ext>
          </c:extLst>
        </c:ser>
        <c:ser>
          <c:idx val="8"/>
          <c:order val="8"/>
          <c:tx>
            <c:strRef>
              <c:f>Data!$J$1</c:f>
              <c:strCache>
                <c:ptCount val="1"/>
                <c:pt idx="0">
                  <c:v>Sparklines</c:v>
                </c:pt>
              </c:strCache>
            </c:strRef>
          </c:tx>
          <c:cat>
            <c:strRef>
              <c:extLst>
                <c:ext xmlns:c15="http://schemas.microsoft.com/office/drawing/2012/chart" uri="{02D57815-91ED-43cb-92C2-25804820EDAC}">
                  <c15:fullRef>
                    <c15:sqref>Data!$A$2:$A$13</c15:sqref>
                  </c15:fullRef>
                </c:ext>
              </c:extLst>
              <c:f>Data!$A$2:$A$3</c:f>
              <c:strCache>
                <c:ptCount val="2"/>
                <c:pt idx="0">
                  <c:v>Total Crashes:</c:v>
                </c:pt>
                <c:pt idx="1">
                  <c:v>Injury Crashes:</c:v>
                </c:pt>
              </c:strCache>
            </c:strRef>
          </c:cat>
          <c:val>
            <c:numRef>
              <c:extLst>
                <c:ext xmlns:c15="http://schemas.microsoft.com/office/drawing/2012/chart" uri="{02D57815-91ED-43cb-92C2-25804820EDAC}">
                  <c15:fullRef>
                    <c15:sqref>Data!$J$2:$J$13</c15:sqref>
                  </c15:fullRef>
                </c:ext>
              </c:extLst>
              <c:f>Data!$J$2:$J$3</c:f>
              <c:numCache>
                <c:formatCode>General</c:formatCode>
                <c:ptCount val="2"/>
              </c:numCache>
            </c:numRef>
          </c:val>
          <c:extLst>
            <c:ext xmlns:c16="http://schemas.microsoft.com/office/drawing/2014/chart" uri="{C3380CC4-5D6E-409C-BE32-E72D297353CC}">
              <c16:uniqueId val="{0000001A-0ACF-433A-BE37-E358A011CBD1}"/>
            </c:ext>
          </c:extLst>
        </c:ser>
        <c:dLbls>
          <c:showLegendKey val="0"/>
          <c:showVal val="0"/>
          <c:showCatName val="0"/>
          <c:showSerName val="0"/>
          <c:showPercent val="0"/>
          <c:showBubbleSize val="0"/>
          <c:showLeaderLines val="0"/>
        </c:dLbls>
        <c:firstSliceAng val="0"/>
        <c:extLst>
          <c:ext xmlns:c15="http://schemas.microsoft.com/office/drawing/2012/chart" uri="{02D57815-91ED-43cb-92C2-25804820EDAC}">
            <c15:filteredPieSeries>
              <c15:ser>
                <c:idx val="0"/>
                <c:order val="0"/>
                <c:tx>
                  <c:strRef>
                    <c:extLst>
                      <c:ext uri="{02D57815-91ED-43cb-92C2-25804820EDAC}">
                        <c15:formulaRef>
                          <c15:sqref>Data!$B$1</c15:sqref>
                        </c15:formulaRef>
                      </c:ext>
                    </c:extLst>
                    <c:strCache>
                      <c:ptCount val="1"/>
                      <c:pt idx="0">
                        <c:v>2011</c:v>
                      </c:pt>
                    </c:strCache>
                  </c:strRef>
                </c:tx>
                <c:dPt>
                  <c:idx val="0"/>
                  <c:bubble3D val="0"/>
                  <c:spPr>
                    <a:solidFill>
                      <a:schemeClr val="accent1"/>
                    </a:solidFill>
                    <a:ln>
                      <a:noFill/>
                    </a:ln>
                    <a:effectLst/>
                  </c:spPr>
                  <c:extLst>
                    <c:ext xmlns:c16="http://schemas.microsoft.com/office/drawing/2014/chart" uri="{C3380CC4-5D6E-409C-BE32-E72D297353CC}">
                      <c16:uniqueId val="{00000005-0ACF-433A-BE37-E358A011CBD1}"/>
                    </c:ext>
                  </c:extLst>
                </c:dPt>
                <c:dPt>
                  <c:idx val="1"/>
                  <c:bubble3D val="0"/>
                  <c:spPr>
                    <a:solidFill>
                      <a:schemeClr val="accent2"/>
                    </a:solidFill>
                    <a:ln>
                      <a:noFill/>
                    </a:ln>
                    <a:effectLst/>
                  </c:spPr>
                  <c:extLst>
                    <c:ext xmlns:c16="http://schemas.microsoft.com/office/drawing/2014/chart" uri="{C3380CC4-5D6E-409C-BE32-E72D297353CC}">
                      <c16:uniqueId val="{00000007-0ACF-433A-BE37-E358A011CBD1}"/>
                    </c:ext>
                  </c:extLst>
                </c:dPt>
                <c:cat>
                  <c:strRef>
                    <c:extLst>
                      <c:ext uri="{02D57815-91ED-43cb-92C2-25804820EDAC}">
                        <c15:fullRef>
                          <c15:sqref>Data!$A$2:$A$13</c15:sqref>
                        </c15:fullRef>
                        <c15:formulaRef>
                          <c15:sqref>Data!$A$2:$A$3</c15:sqref>
                        </c15:formulaRef>
                      </c:ext>
                    </c:extLst>
                    <c:strCache>
                      <c:ptCount val="2"/>
                      <c:pt idx="0">
                        <c:v>Total Crashes:</c:v>
                      </c:pt>
                      <c:pt idx="1">
                        <c:v>Injury Crashes:</c:v>
                      </c:pt>
                    </c:strCache>
                  </c:strRef>
                </c:cat>
                <c:val>
                  <c:numRef>
                    <c:extLst>
                      <c:ext uri="{02D57815-91ED-43cb-92C2-25804820EDAC}">
                        <c15:fullRef>
                          <c15:sqref>Data!$B$2:$B$13</c15:sqref>
                        </c15:fullRef>
                        <c15:formulaRef>
                          <c15:sqref>Data!$B$2:$B$3</c15:sqref>
                        </c15:formulaRef>
                      </c:ext>
                    </c:extLst>
                    <c:numCache>
                      <c:formatCode>General</c:formatCode>
                      <c:ptCount val="2"/>
                      <c:pt idx="0">
                        <c:v>229210</c:v>
                      </c:pt>
                      <c:pt idx="1">
                        <c:v>118157</c:v>
                      </c:pt>
                    </c:numCache>
                  </c:numRef>
                </c:val>
                <c:extLst>
                  <c:ext xmlns:c16="http://schemas.microsoft.com/office/drawing/2014/chart" uri="{C3380CC4-5D6E-409C-BE32-E72D297353CC}">
                    <c16:uniqueId val="{00000002-66B1-47EB-983C-ACC679A02C01}"/>
                  </c:ext>
                </c:extLst>
              </c15:ser>
            </c15:filteredPieSeries>
            <c15:filteredPieSeries>
              <c15:ser>
                <c:idx val="1"/>
                <c:order val="1"/>
                <c:tx>
                  <c:strRef>
                    <c:extLst>
                      <c:ext xmlns:c15="http://schemas.microsoft.com/office/drawing/2012/chart" uri="{02D57815-91ED-43cb-92C2-25804820EDAC}">
                        <c15:formulaRef>
                          <c15:sqref>Data!$C$1</c15:sqref>
                        </c15:formulaRef>
                      </c:ext>
                    </c:extLst>
                    <c:strCache>
                      <c:ptCount val="1"/>
                      <c:pt idx="0">
                        <c:v>2012</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9-0ACF-433A-BE37-E358A011CBD1}"/>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0B-0ACF-433A-BE37-E358A011CBD1}"/>
                    </c:ext>
                  </c:extLst>
                </c:dPt>
                <c:cat>
                  <c:strRef>
                    <c:extLst>
                      <c:ext xmlns:c15="http://schemas.microsoft.com/office/drawing/2012/chart" uri="{02D57815-91ED-43cb-92C2-25804820EDAC}">
                        <c15:fullRef>
                          <c15:sqref>Data!$A$2:$A$13</c15:sqref>
                        </c15:fullRef>
                        <c15:formulaRef>
                          <c15:sqref>Data!$A$2:$A$3</c15:sqref>
                        </c15:formulaRef>
                      </c:ext>
                    </c:extLst>
                    <c:strCache>
                      <c:ptCount val="2"/>
                      <c:pt idx="0">
                        <c:v>Total Crashes:</c:v>
                      </c:pt>
                      <c:pt idx="1">
                        <c:v>Injury Crashes:</c:v>
                      </c:pt>
                    </c:strCache>
                  </c:strRef>
                </c:cat>
                <c:val>
                  <c:numRef>
                    <c:extLst>
                      <c:ext xmlns:c15="http://schemas.microsoft.com/office/drawing/2012/chart" uri="{02D57815-91ED-43cb-92C2-25804820EDAC}">
                        <c15:fullRef>
                          <c15:sqref>Data!$C$2:$C$13</c15:sqref>
                        </c15:fullRef>
                        <c15:formulaRef>
                          <c15:sqref>Data!$C$2:$C$3</c15:sqref>
                        </c15:formulaRef>
                      </c:ext>
                    </c:extLst>
                    <c:numCache>
                      <c:formatCode>General</c:formatCode>
                      <c:ptCount val="2"/>
                      <c:pt idx="0">
                        <c:v>283367</c:v>
                      </c:pt>
                      <c:pt idx="1">
                        <c:v>130333</c:v>
                      </c:pt>
                    </c:numCache>
                  </c:numRef>
                </c:val>
                <c:extLst xmlns:c15="http://schemas.microsoft.com/office/drawing/2012/chart">
                  <c:ext xmlns:c16="http://schemas.microsoft.com/office/drawing/2014/chart" uri="{C3380CC4-5D6E-409C-BE32-E72D297353CC}">
                    <c16:uniqueId val="{00000000-66B1-47EB-983C-ACC679A02C01}"/>
                  </c:ext>
                </c:extLst>
              </c15:ser>
            </c15:filteredPieSeries>
            <c15:filteredPieSeries>
              <c15:ser>
                <c:idx val="2"/>
                <c:order val="2"/>
                <c:tx>
                  <c:strRef>
                    <c:extLst>
                      <c:ext xmlns:c15="http://schemas.microsoft.com/office/drawing/2012/chart" uri="{02D57815-91ED-43cb-92C2-25804820EDAC}">
                        <c15:formulaRef>
                          <c15:sqref>Data!$D$1</c15:sqref>
                        </c15:formulaRef>
                      </c:ext>
                    </c:extLst>
                    <c:strCache>
                      <c:ptCount val="1"/>
                      <c:pt idx="0">
                        <c:v>2013</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D-0ACF-433A-BE37-E358A011CBD1}"/>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0F-0ACF-433A-BE37-E358A011CBD1}"/>
                    </c:ext>
                  </c:extLst>
                </c:dPt>
                <c:cat>
                  <c:strRef>
                    <c:extLst>
                      <c:ext xmlns:c15="http://schemas.microsoft.com/office/drawing/2012/chart" uri="{02D57815-91ED-43cb-92C2-25804820EDAC}">
                        <c15:fullRef>
                          <c15:sqref>Data!$A$2:$A$13</c15:sqref>
                        </c15:fullRef>
                        <c15:formulaRef>
                          <c15:sqref>Data!$A$2:$A$3</c15:sqref>
                        </c15:formulaRef>
                      </c:ext>
                    </c:extLst>
                    <c:strCache>
                      <c:ptCount val="2"/>
                      <c:pt idx="0">
                        <c:v>Total Crashes:</c:v>
                      </c:pt>
                      <c:pt idx="1">
                        <c:v>Injury Crashes:</c:v>
                      </c:pt>
                    </c:strCache>
                  </c:strRef>
                </c:cat>
                <c:val>
                  <c:numRef>
                    <c:extLst>
                      <c:ext xmlns:c15="http://schemas.microsoft.com/office/drawing/2012/chart" uri="{02D57815-91ED-43cb-92C2-25804820EDAC}">
                        <c15:fullRef>
                          <c15:sqref>Data!$D$2:$D$13</c15:sqref>
                        </c15:fullRef>
                        <c15:formulaRef>
                          <c15:sqref>Data!$D$2:$D$3</c15:sqref>
                        </c15:formulaRef>
                      </c:ext>
                    </c:extLst>
                    <c:numCache>
                      <c:formatCode>General</c:formatCode>
                      <c:ptCount val="2"/>
                      <c:pt idx="0">
                        <c:v>317197</c:v>
                      </c:pt>
                      <c:pt idx="1">
                        <c:v>140204</c:v>
                      </c:pt>
                    </c:numCache>
                  </c:numRef>
                </c:val>
                <c:extLst xmlns:c15="http://schemas.microsoft.com/office/drawing/2012/chart">
                  <c:ext xmlns:c16="http://schemas.microsoft.com/office/drawing/2014/chart" uri="{C3380CC4-5D6E-409C-BE32-E72D297353CC}">
                    <c16:uniqueId val="{00000001-66B1-47EB-983C-ACC679A02C01}"/>
                  </c:ext>
                </c:extLst>
              </c15:ser>
            </c15:filteredPieSeries>
            <c15:filteredPieSeries>
              <c15:ser>
                <c:idx val="3"/>
                <c:order val="3"/>
                <c:tx>
                  <c:strRef>
                    <c:extLst>
                      <c:ext xmlns:c15="http://schemas.microsoft.com/office/drawing/2012/chart" uri="{02D57815-91ED-43cb-92C2-25804820EDAC}">
                        <c15:formulaRef>
                          <c15:sqref>Data!$E$1</c15:sqref>
                        </c15:formulaRef>
                      </c:ext>
                    </c:extLst>
                    <c:strCache>
                      <c:ptCount val="1"/>
                      <c:pt idx="0">
                        <c:v>2014</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1-0ACF-433A-BE37-E358A011CBD1}"/>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13-0ACF-433A-BE37-E358A011CBD1}"/>
                    </c:ext>
                  </c:extLst>
                </c:dPt>
                <c:cat>
                  <c:strRef>
                    <c:extLst>
                      <c:ext xmlns:c15="http://schemas.microsoft.com/office/drawing/2012/chart" uri="{02D57815-91ED-43cb-92C2-25804820EDAC}">
                        <c15:fullRef>
                          <c15:sqref>Data!$A$2:$A$13</c15:sqref>
                        </c15:fullRef>
                        <c15:formulaRef>
                          <c15:sqref>Data!$A$2:$A$3</c15:sqref>
                        </c15:formulaRef>
                      </c:ext>
                    </c:extLst>
                    <c:strCache>
                      <c:ptCount val="2"/>
                      <c:pt idx="0">
                        <c:v>Total Crashes:</c:v>
                      </c:pt>
                      <c:pt idx="1">
                        <c:v>Injury Crashes:</c:v>
                      </c:pt>
                    </c:strCache>
                  </c:strRef>
                </c:cat>
                <c:val>
                  <c:numRef>
                    <c:extLst>
                      <c:ext xmlns:c15="http://schemas.microsoft.com/office/drawing/2012/chart" uri="{02D57815-91ED-43cb-92C2-25804820EDAC}">
                        <c15:fullRef>
                          <c15:sqref>Data!$E$2:$E$13</c15:sqref>
                        </c15:fullRef>
                        <c15:formulaRef>
                          <c15:sqref>Data!$E$2:$E$3</c15:sqref>
                        </c15:formulaRef>
                      </c:ext>
                    </c:extLst>
                    <c:numCache>
                      <c:formatCode>General</c:formatCode>
                      <c:ptCount val="2"/>
                      <c:pt idx="0">
                        <c:v>344336</c:v>
                      </c:pt>
                      <c:pt idx="1">
                        <c:v>149493</c:v>
                      </c:pt>
                    </c:numCache>
                  </c:numRef>
                </c:val>
                <c:extLst xmlns:c15="http://schemas.microsoft.com/office/drawing/2012/chart">
                  <c:ext xmlns:c16="http://schemas.microsoft.com/office/drawing/2014/chart" uri="{C3380CC4-5D6E-409C-BE32-E72D297353CC}">
                    <c16:uniqueId val="{00000003-66B1-47EB-983C-ACC679A02C01}"/>
                  </c:ext>
                </c:extLst>
              </c15:ser>
            </c15:filteredPieSeries>
            <c15:filteredPieSeries>
              <c15:ser>
                <c:idx val="4"/>
                <c:order val="4"/>
                <c:tx>
                  <c:strRef>
                    <c:extLst>
                      <c:ext xmlns:c15="http://schemas.microsoft.com/office/drawing/2012/chart" uri="{02D57815-91ED-43cb-92C2-25804820EDAC}">
                        <c15:formulaRef>
                          <c15:sqref>Data!$F$1</c15:sqref>
                        </c15:formulaRef>
                      </c:ext>
                    </c:extLst>
                    <c:strCache>
                      <c:ptCount val="1"/>
                      <c:pt idx="0">
                        <c:v>2015</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5-0ACF-433A-BE37-E358A011CBD1}"/>
                    </c:ext>
                  </c:extLst>
                </c:dPt>
                <c:dPt>
                  <c:idx val="1"/>
                  <c:bubble3D val="0"/>
                  <c:spPr>
                    <a:solidFill>
                      <a:schemeClr val="accent2"/>
                    </a:solidFill>
                    <a:ln>
                      <a:noFill/>
                    </a:ln>
                    <a:effectLst/>
                  </c:spPr>
                  <c:extLst xmlns:c15="http://schemas.microsoft.com/office/drawing/2012/chart">
                    <c:ext xmlns:c16="http://schemas.microsoft.com/office/drawing/2014/chart" uri="{C3380CC4-5D6E-409C-BE32-E72D297353CC}">
                      <c16:uniqueId val="{00000017-0ACF-433A-BE37-E358A011CBD1}"/>
                    </c:ext>
                  </c:extLst>
                </c:dPt>
                <c:cat>
                  <c:strRef>
                    <c:extLst>
                      <c:ext xmlns:c15="http://schemas.microsoft.com/office/drawing/2012/chart" uri="{02D57815-91ED-43cb-92C2-25804820EDAC}">
                        <c15:fullRef>
                          <c15:sqref>Data!$A$2:$A$13</c15:sqref>
                        </c15:fullRef>
                        <c15:formulaRef>
                          <c15:sqref>Data!$A$2:$A$3</c15:sqref>
                        </c15:formulaRef>
                      </c:ext>
                    </c:extLst>
                    <c:strCache>
                      <c:ptCount val="2"/>
                      <c:pt idx="0">
                        <c:v>Total Crashes:</c:v>
                      </c:pt>
                      <c:pt idx="1">
                        <c:v>Injury Crashes:</c:v>
                      </c:pt>
                    </c:strCache>
                  </c:strRef>
                </c:cat>
                <c:val>
                  <c:numRef>
                    <c:extLst>
                      <c:ext xmlns:c15="http://schemas.microsoft.com/office/drawing/2012/chart" uri="{02D57815-91ED-43cb-92C2-25804820EDAC}">
                        <c15:fullRef>
                          <c15:sqref>Data!$F$2:$F$13</c15:sqref>
                        </c15:fullRef>
                        <c15:formulaRef>
                          <c15:sqref>Data!$F$2:$F$3</c15:sqref>
                        </c15:formulaRef>
                      </c:ext>
                    </c:extLst>
                    <c:numCache>
                      <c:formatCode>General</c:formatCode>
                      <c:ptCount val="2"/>
                      <c:pt idx="0">
                        <c:v>374003</c:v>
                      </c:pt>
                      <c:pt idx="1">
                        <c:v>159765</c:v>
                      </c:pt>
                    </c:numCache>
                  </c:numRef>
                </c:val>
                <c:extLst xmlns:c15="http://schemas.microsoft.com/office/drawing/2012/chart">
                  <c:ext xmlns:c16="http://schemas.microsoft.com/office/drawing/2014/chart" uri="{C3380CC4-5D6E-409C-BE32-E72D297353CC}">
                    <c16:uniqueId val="{00000004-66B1-47EB-983C-ACC679A02C01}"/>
                  </c:ext>
                </c:extLst>
              </c15:ser>
            </c15:filteredPieSeries>
          </c:ext>
        </c:extLst>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Crash and Injury Trends Over Time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Data!$A$2</c:f>
              <c:strCache>
                <c:ptCount val="1"/>
                <c:pt idx="0">
                  <c:v>Total Crashes: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Data!$B$1:$J$1</c15:sqref>
                  </c15:fullRef>
                </c:ext>
              </c:extLst>
              <c:f>Data!$B$1:$F$1</c:f>
              <c:strCache>
                <c:ptCount val="5"/>
                <c:pt idx="0">
                  <c:v>2011</c:v>
                </c:pt>
                <c:pt idx="1">
                  <c:v>2012</c:v>
                </c:pt>
                <c:pt idx="2">
                  <c:v>2013</c:v>
                </c:pt>
                <c:pt idx="3">
                  <c:v>2014</c:v>
                </c:pt>
                <c:pt idx="4">
                  <c:v>2015</c:v>
                </c:pt>
              </c:strCache>
            </c:strRef>
          </c:cat>
          <c:val>
            <c:numRef>
              <c:extLst>
                <c:ext xmlns:c15="http://schemas.microsoft.com/office/drawing/2012/chart" uri="{02D57815-91ED-43cb-92C2-25804820EDAC}">
                  <c15:fullRef>
                    <c15:sqref>Data!$B$2:$J$2</c15:sqref>
                  </c15:fullRef>
                </c:ext>
              </c:extLst>
              <c:f>Data!$B$2:$F$2</c:f>
              <c:numCache>
                <c:formatCode>General</c:formatCode>
                <c:ptCount val="5"/>
                <c:pt idx="0">
                  <c:v>229210</c:v>
                </c:pt>
                <c:pt idx="1">
                  <c:v>283367</c:v>
                </c:pt>
                <c:pt idx="2">
                  <c:v>317197</c:v>
                </c:pt>
                <c:pt idx="3">
                  <c:v>344336</c:v>
                </c:pt>
                <c:pt idx="4">
                  <c:v>374003</c:v>
                </c:pt>
              </c:numCache>
            </c:numRef>
          </c:val>
          <c:smooth val="0"/>
          <c:extLst>
            <c:ext xmlns:c16="http://schemas.microsoft.com/office/drawing/2014/chart" uri="{C3380CC4-5D6E-409C-BE32-E72D297353CC}">
              <c16:uniqueId val="{00000000-DE71-4293-BF14-64779F08DB57}"/>
            </c:ext>
          </c:extLst>
        </c:ser>
        <c:ser>
          <c:idx val="1"/>
          <c:order val="1"/>
          <c:tx>
            <c:strRef>
              <c:f>Data!$A$3</c:f>
              <c:strCache>
                <c:ptCount val="1"/>
                <c:pt idx="0">
                  <c:v>Injury Crashes: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Data!$B$1:$J$1</c15:sqref>
                  </c15:fullRef>
                </c:ext>
              </c:extLst>
              <c:f>Data!$B$1:$F$1</c:f>
              <c:strCache>
                <c:ptCount val="5"/>
                <c:pt idx="0">
                  <c:v>2011</c:v>
                </c:pt>
                <c:pt idx="1">
                  <c:v>2012</c:v>
                </c:pt>
                <c:pt idx="2">
                  <c:v>2013</c:v>
                </c:pt>
                <c:pt idx="3">
                  <c:v>2014</c:v>
                </c:pt>
                <c:pt idx="4">
                  <c:v>2015</c:v>
                </c:pt>
              </c:strCache>
            </c:strRef>
          </c:cat>
          <c:val>
            <c:numRef>
              <c:extLst>
                <c:ext xmlns:c15="http://schemas.microsoft.com/office/drawing/2012/chart" uri="{02D57815-91ED-43cb-92C2-25804820EDAC}">
                  <c15:fullRef>
                    <c15:sqref>Data!$B$3:$J$3</c15:sqref>
                  </c15:fullRef>
                </c:ext>
              </c:extLst>
              <c:f>Data!$B$3:$F$3</c:f>
              <c:numCache>
                <c:formatCode>General</c:formatCode>
                <c:ptCount val="5"/>
                <c:pt idx="0">
                  <c:v>118157</c:v>
                </c:pt>
                <c:pt idx="1">
                  <c:v>130333</c:v>
                </c:pt>
                <c:pt idx="2">
                  <c:v>140204</c:v>
                </c:pt>
                <c:pt idx="3">
                  <c:v>149493</c:v>
                </c:pt>
                <c:pt idx="4">
                  <c:v>159765</c:v>
                </c:pt>
              </c:numCache>
            </c:numRef>
          </c:val>
          <c:smooth val="0"/>
          <c:extLst>
            <c:ext xmlns:c16="http://schemas.microsoft.com/office/drawing/2014/chart" uri="{C3380CC4-5D6E-409C-BE32-E72D297353CC}">
              <c16:uniqueId val="{00000002-DE71-4293-BF14-64779F08DB57}"/>
            </c:ext>
          </c:extLst>
        </c:ser>
        <c:ser>
          <c:idx val="2"/>
          <c:order val="2"/>
          <c:tx>
            <c:strRef>
              <c:f>Data!$A$4</c:f>
              <c:strCache>
                <c:ptCount val="1"/>
                <c:pt idx="0">
                  <c:v>Total Injuries:</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Data!$B$1:$J$1</c15:sqref>
                  </c15:fullRef>
                </c:ext>
              </c:extLst>
              <c:f>Data!$B$1:$F$1</c:f>
              <c:strCache>
                <c:ptCount val="5"/>
                <c:pt idx="0">
                  <c:v>2011</c:v>
                </c:pt>
                <c:pt idx="1">
                  <c:v>2012</c:v>
                </c:pt>
                <c:pt idx="2">
                  <c:v>2013</c:v>
                </c:pt>
                <c:pt idx="3">
                  <c:v>2014</c:v>
                </c:pt>
                <c:pt idx="4">
                  <c:v>2015</c:v>
                </c:pt>
              </c:strCache>
            </c:strRef>
          </c:cat>
          <c:val>
            <c:numRef>
              <c:extLst>
                <c:ext xmlns:c15="http://schemas.microsoft.com/office/drawing/2012/chart" uri="{02D57815-91ED-43cb-92C2-25804820EDAC}">
                  <c15:fullRef>
                    <c15:sqref>Data!$B$4:$J$4</c15:sqref>
                  </c15:fullRef>
                </c:ext>
              </c:extLst>
              <c:f>Data!$B$4:$F$4</c:f>
              <c:numCache>
                <c:formatCode>General</c:formatCode>
                <c:ptCount val="5"/>
                <c:pt idx="0">
                  <c:v>182007</c:v>
                </c:pt>
                <c:pt idx="1">
                  <c:v>198484</c:v>
                </c:pt>
                <c:pt idx="2">
                  <c:v>211085</c:v>
                </c:pt>
                <c:pt idx="3">
                  <c:v>225716</c:v>
                </c:pt>
                <c:pt idx="4">
                  <c:v>243229</c:v>
                </c:pt>
              </c:numCache>
            </c:numRef>
          </c:val>
          <c:smooth val="0"/>
          <c:extLst>
            <c:ext xmlns:c16="http://schemas.microsoft.com/office/drawing/2014/chart" uri="{C3380CC4-5D6E-409C-BE32-E72D297353CC}">
              <c16:uniqueId val="{00000001-DE71-4293-BF14-64779F08DB57}"/>
            </c:ext>
          </c:extLst>
        </c:ser>
        <c:dLbls>
          <c:dLblPos val="t"/>
          <c:showLegendKey val="0"/>
          <c:showVal val="1"/>
          <c:showCatName val="0"/>
          <c:showSerName val="0"/>
          <c:showPercent val="0"/>
          <c:showBubbleSize val="0"/>
        </c:dLbls>
        <c:smooth val="0"/>
        <c:axId val="1629256608"/>
        <c:axId val="1629257568"/>
        <c:extLst>
          <c:ext xmlns:c15="http://schemas.microsoft.com/office/drawing/2012/chart" uri="{02D57815-91ED-43cb-92C2-25804820EDAC}">
            <c15:filteredLineSeries>
              <c15:ser>
                <c:idx val="3"/>
                <c:order val="3"/>
                <c:tx>
                  <c:strRef>
                    <c:extLst>
                      <c:ext uri="{02D57815-91ED-43cb-92C2-25804820EDAC}">
                        <c15:formulaRef>
                          <c15:sqref>Data!$A$5</c15:sqref>
                        </c15:formulaRef>
                      </c:ext>
                    </c:extLst>
                    <c:strCache>
                      <c:ptCount val="1"/>
                      <c:pt idx="0">
                        <c:v>Crashes with Traffic Fatalities:</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Data!$B$1:$J$1</c15:sqref>
                        </c15:fullRef>
                        <c15:formulaRef>
                          <c15:sqref>Data!$B$1:$F$1</c15:sqref>
                        </c15:formulaRef>
                      </c:ext>
                    </c:extLst>
                    <c:strCache>
                      <c:ptCount val="5"/>
                      <c:pt idx="0">
                        <c:v>2011</c:v>
                      </c:pt>
                      <c:pt idx="1">
                        <c:v>2012</c:v>
                      </c:pt>
                      <c:pt idx="2">
                        <c:v>2013</c:v>
                      </c:pt>
                      <c:pt idx="3">
                        <c:v>2014</c:v>
                      </c:pt>
                      <c:pt idx="4">
                        <c:v>2015</c:v>
                      </c:pt>
                    </c:strCache>
                  </c:strRef>
                </c:cat>
                <c:val>
                  <c:numRef>
                    <c:extLst>
                      <c:ext uri="{02D57815-91ED-43cb-92C2-25804820EDAC}">
                        <c15:fullRef>
                          <c15:sqref>Data!$B$5:$J$5</c15:sqref>
                        </c15:fullRef>
                        <c15:formulaRef>
                          <c15:sqref>Data!$B$5:$F$5</c15:sqref>
                        </c15:formulaRef>
                      </c:ext>
                    </c:extLst>
                    <c:numCache>
                      <c:formatCode>General</c:formatCode>
                      <c:ptCount val="5"/>
                      <c:pt idx="0">
                        <c:v>2215</c:v>
                      </c:pt>
                      <c:pt idx="1">
                        <c:v>2249</c:v>
                      </c:pt>
                      <c:pt idx="2">
                        <c:v>2224</c:v>
                      </c:pt>
                      <c:pt idx="3">
                        <c:v>2339</c:v>
                      </c:pt>
                      <c:pt idx="4">
                        <c:v>2670</c:v>
                      </c:pt>
                    </c:numCache>
                  </c:numRef>
                </c:val>
                <c:smooth val="0"/>
                <c:extLst>
                  <c:ext xmlns:c16="http://schemas.microsoft.com/office/drawing/2014/chart" uri="{C3380CC4-5D6E-409C-BE32-E72D297353CC}">
                    <c16:uniqueId val="{00000003-DE71-4293-BF14-64779F08DB57}"/>
                  </c:ext>
                </c:extLst>
              </c15:ser>
            </c15:filteredLineSeries>
            <c15:filteredLineSeries>
              <c15:ser>
                <c:idx val="4"/>
                <c:order val="4"/>
                <c:tx>
                  <c:strRef>
                    <c:extLst>
                      <c:ext xmlns:c15="http://schemas.microsoft.com/office/drawing/2012/chart" uri="{02D57815-91ED-43cb-92C2-25804820EDAC}">
                        <c15:formulaRef>
                          <c15:sqref>Data!$A$6</c15:sqref>
                        </c15:formulaRef>
                      </c:ext>
                    </c:extLst>
                    <c:strCache>
                      <c:ptCount val="1"/>
                      <c:pt idx="0">
                        <c:v>Total Traffic Fatalities</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Data!$B$1:$J$1</c15:sqref>
                        </c15:fullRef>
                        <c15:formulaRef>
                          <c15:sqref>Data!$B$1:$F$1</c15:sqref>
                        </c15:formulaRef>
                      </c:ext>
                    </c:extLst>
                    <c:strCache>
                      <c:ptCount val="5"/>
                      <c:pt idx="0">
                        <c:v>2011</c:v>
                      </c:pt>
                      <c:pt idx="1">
                        <c:v>2012</c:v>
                      </c:pt>
                      <c:pt idx="2">
                        <c:v>2013</c:v>
                      </c:pt>
                      <c:pt idx="3">
                        <c:v>2014</c:v>
                      </c:pt>
                      <c:pt idx="4">
                        <c:v>2015</c:v>
                      </c:pt>
                    </c:strCache>
                  </c:strRef>
                </c:cat>
                <c:val>
                  <c:numRef>
                    <c:extLst>
                      <c:ext xmlns:c15="http://schemas.microsoft.com/office/drawing/2012/chart" uri="{02D57815-91ED-43cb-92C2-25804820EDAC}">
                        <c15:fullRef>
                          <c15:sqref>Data!$B$6:$J$6</c15:sqref>
                        </c15:fullRef>
                        <c15:formulaRef>
                          <c15:sqref>Data!$B$6:$F$6</c15:sqref>
                        </c15:formulaRef>
                      </c:ext>
                    </c:extLst>
                    <c:numCache>
                      <c:formatCode>General</c:formatCode>
                      <c:ptCount val="5"/>
                      <c:pt idx="0">
                        <c:v>2404</c:v>
                      </c:pt>
                      <c:pt idx="1">
                        <c:v>2420</c:v>
                      </c:pt>
                      <c:pt idx="2">
                        <c:v>2403</c:v>
                      </c:pt>
                      <c:pt idx="3">
                        <c:v>2497</c:v>
                      </c:pt>
                      <c:pt idx="4">
                        <c:v>2898</c:v>
                      </c:pt>
                    </c:numCache>
                  </c:numRef>
                </c:val>
                <c:smooth val="0"/>
                <c:extLst xmlns:c15="http://schemas.microsoft.com/office/drawing/2012/chart">
                  <c:ext xmlns:c16="http://schemas.microsoft.com/office/drawing/2014/chart" uri="{C3380CC4-5D6E-409C-BE32-E72D297353CC}">
                    <c16:uniqueId val="{00000004-DE71-4293-BF14-64779F08DB57}"/>
                  </c:ext>
                </c:extLst>
              </c15:ser>
            </c15:filteredLineSeries>
            <c15:filteredLineSeries>
              <c15:ser>
                <c:idx val="5"/>
                <c:order val="5"/>
                <c:tx>
                  <c:strRef>
                    <c:extLst>
                      <c:ext xmlns:c15="http://schemas.microsoft.com/office/drawing/2012/chart" uri="{02D57815-91ED-43cb-92C2-25804820EDAC}">
                        <c15:formulaRef>
                          <c15:sqref>Data!$A$7</c15:sqref>
                        </c15:formulaRef>
                      </c:ext>
                    </c:extLst>
                    <c:strCache>
                      <c:ptCount val="1"/>
                      <c:pt idx="0">
                        <c:v>Commercial Vehicle Crashes:</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Data!$B$1:$J$1</c15:sqref>
                        </c15:fullRef>
                        <c15:formulaRef>
                          <c15:sqref>Data!$B$1:$F$1</c15:sqref>
                        </c15:formulaRef>
                      </c:ext>
                    </c:extLst>
                    <c:strCache>
                      <c:ptCount val="5"/>
                      <c:pt idx="0">
                        <c:v>2011</c:v>
                      </c:pt>
                      <c:pt idx="1">
                        <c:v>2012</c:v>
                      </c:pt>
                      <c:pt idx="2">
                        <c:v>2013</c:v>
                      </c:pt>
                      <c:pt idx="3">
                        <c:v>2014</c:v>
                      </c:pt>
                      <c:pt idx="4">
                        <c:v>2015</c:v>
                      </c:pt>
                    </c:strCache>
                  </c:strRef>
                </c:cat>
                <c:val>
                  <c:numRef>
                    <c:extLst>
                      <c:ext xmlns:c15="http://schemas.microsoft.com/office/drawing/2012/chart" uri="{02D57815-91ED-43cb-92C2-25804820EDAC}">
                        <c15:fullRef>
                          <c15:sqref>Data!$B$7:$J$7</c15:sqref>
                        </c15:fullRef>
                        <c15:formulaRef>
                          <c15:sqref>Data!$B$7:$F$7</c15:sqref>
                        </c15:formulaRef>
                      </c:ext>
                    </c:extLst>
                    <c:numCache>
                      <c:formatCode>General</c:formatCode>
                      <c:ptCount val="5"/>
                      <c:pt idx="0">
                        <c:v>11459</c:v>
                      </c:pt>
                      <c:pt idx="1">
                        <c:v>29473</c:v>
                      </c:pt>
                      <c:pt idx="2">
                        <c:v>32091</c:v>
                      </c:pt>
                      <c:pt idx="3">
                        <c:v>34439</c:v>
                      </c:pt>
                      <c:pt idx="4">
                        <c:v>38199</c:v>
                      </c:pt>
                    </c:numCache>
                  </c:numRef>
                </c:val>
                <c:smooth val="0"/>
                <c:extLst xmlns:c15="http://schemas.microsoft.com/office/drawing/2012/chart">
                  <c:ext xmlns:c16="http://schemas.microsoft.com/office/drawing/2014/chart" uri="{C3380CC4-5D6E-409C-BE32-E72D297353CC}">
                    <c16:uniqueId val="{00000005-DE71-4293-BF14-64779F08DB57}"/>
                  </c:ext>
                </c:extLst>
              </c15:ser>
            </c15:filteredLineSeries>
            <c15:filteredLineSeries>
              <c15:ser>
                <c:idx val="6"/>
                <c:order val="6"/>
                <c:tx>
                  <c:strRef>
                    <c:extLst>
                      <c:ext xmlns:c15="http://schemas.microsoft.com/office/drawing/2012/chart" uri="{02D57815-91ED-43cb-92C2-25804820EDAC}">
                        <c15:formulaRef>
                          <c15:sqref>Data!$A$8</c15:sqref>
                        </c15:formulaRef>
                      </c:ext>
                    </c:extLst>
                    <c:strCache>
                      <c:ptCount val="1"/>
                      <c:pt idx="0">
                        <c:v>Commercial Vehicles:</c:v>
                      </c:pt>
                    </c:strCache>
                  </c:strRef>
                </c:tx>
                <c:spPr>
                  <a:ln w="28575" cap="rnd">
                    <a:solidFill>
                      <a:schemeClr val="accent1">
                        <a:lumMod val="6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Data!$B$1:$J$1</c15:sqref>
                        </c15:fullRef>
                        <c15:formulaRef>
                          <c15:sqref>Data!$B$1:$F$1</c15:sqref>
                        </c15:formulaRef>
                      </c:ext>
                    </c:extLst>
                    <c:strCache>
                      <c:ptCount val="5"/>
                      <c:pt idx="0">
                        <c:v>2011</c:v>
                      </c:pt>
                      <c:pt idx="1">
                        <c:v>2012</c:v>
                      </c:pt>
                      <c:pt idx="2">
                        <c:v>2013</c:v>
                      </c:pt>
                      <c:pt idx="3">
                        <c:v>2014</c:v>
                      </c:pt>
                      <c:pt idx="4">
                        <c:v>2015</c:v>
                      </c:pt>
                    </c:strCache>
                  </c:strRef>
                </c:cat>
                <c:val>
                  <c:numRef>
                    <c:extLst>
                      <c:ext xmlns:c15="http://schemas.microsoft.com/office/drawing/2012/chart" uri="{02D57815-91ED-43cb-92C2-25804820EDAC}">
                        <c15:fullRef>
                          <c15:sqref>Data!$B$8:$J$8</c15:sqref>
                        </c15:fullRef>
                        <c15:formulaRef>
                          <c15:sqref>Data!$B$8:$F$8</c15:sqref>
                        </c15:formulaRef>
                      </c:ext>
                    </c:extLst>
                    <c:numCache>
                      <c:formatCode>General</c:formatCode>
                      <c:ptCount val="5"/>
                      <c:pt idx="0">
                        <c:v>12191</c:v>
                      </c:pt>
                      <c:pt idx="1">
                        <c:v>31639</c:v>
                      </c:pt>
                      <c:pt idx="2">
                        <c:v>34840</c:v>
                      </c:pt>
                      <c:pt idx="3">
                        <c:v>37349</c:v>
                      </c:pt>
                      <c:pt idx="4">
                        <c:v>41196</c:v>
                      </c:pt>
                    </c:numCache>
                  </c:numRef>
                </c:val>
                <c:smooth val="0"/>
                <c:extLst xmlns:c15="http://schemas.microsoft.com/office/drawing/2012/chart">
                  <c:ext xmlns:c16="http://schemas.microsoft.com/office/drawing/2014/chart" uri="{C3380CC4-5D6E-409C-BE32-E72D297353CC}">
                    <c16:uniqueId val="{00000006-DE71-4293-BF14-64779F08DB57}"/>
                  </c:ext>
                </c:extLst>
              </c15:ser>
            </c15:filteredLineSeries>
            <c15:filteredLineSeries>
              <c15:ser>
                <c:idx val="7"/>
                <c:order val="7"/>
                <c:tx>
                  <c:strRef>
                    <c:extLst>
                      <c:ext xmlns:c15="http://schemas.microsoft.com/office/drawing/2012/chart" uri="{02D57815-91ED-43cb-92C2-25804820EDAC}">
                        <c15:formulaRef>
                          <c15:sqref>Data!$A$9</c15:sqref>
                        </c15:formulaRef>
                      </c:ext>
                    </c:extLst>
                    <c:strCache>
                      <c:ptCount val="1"/>
                      <c:pt idx="0">
                        <c:v>Property Damage Crashes:</c:v>
                      </c:pt>
                    </c:strCache>
                  </c:strRef>
                </c:tx>
                <c:spPr>
                  <a:ln w="28575" cap="rnd">
                    <a:solidFill>
                      <a:schemeClr val="accent2">
                        <a:lumMod val="6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Data!$B$1:$J$1</c15:sqref>
                        </c15:fullRef>
                        <c15:formulaRef>
                          <c15:sqref>Data!$B$1:$F$1</c15:sqref>
                        </c15:formulaRef>
                      </c:ext>
                    </c:extLst>
                    <c:strCache>
                      <c:ptCount val="5"/>
                      <c:pt idx="0">
                        <c:v>2011</c:v>
                      </c:pt>
                      <c:pt idx="1">
                        <c:v>2012</c:v>
                      </c:pt>
                      <c:pt idx="2">
                        <c:v>2013</c:v>
                      </c:pt>
                      <c:pt idx="3">
                        <c:v>2014</c:v>
                      </c:pt>
                      <c:pt idx="4">
                        <c:v>2015</c:v>
                      </c:pt>
                    </c:strCache>
                  </c:strRef>
                </c:cat>
                <c:val>
                  <c:numRef>
                    <c:extLst>
                      <c:ext xmlns:c15="http://schemas.microsoft.com/office/drawing/2012/chart" uri="{02D57815-91ED-43cb-92C2-25804820EDAC}">
                        <c15:fullRef>
                          <c15:sqref>Data!$B$9:$J$9</c15:sqref>
                        </c15:fullRef>
                        <c15:formulaRef>
                          <c15:sqref>Data!$B$9:$F$9</c15:sqref>
                        </c15:formulaRef>
                      </c:ext>
                    </c:extLst>
                    <c:numCache>
                      <c:formatCode>General</c:formatCode>
                      <c:ptCount val="5"/>
                      <c:pt idx="0">
                        <c:v>108838</c:v>
                      </c:pt>
                      <c:pt idx="1">
                        <c:v>150785</c:v>
                      </c:pt>
                      <c:pt idx="2">
                        <c:v>174769</c:v>
                      </c:pt>
                      <c:pt idx="3">
                        <c:v>192504</c:v>
                      </c:pt>
                      <c:pt idx="4">
                        <c:v>211568</c:v>
                      </c:pt>
                    </c:numCache>
                  </c:numRef>
                </c:val>
                <c:smooth val="0"/>
                <c:extLst xmlns:c15="http://schemas.microsoft.com/office/drawing/2012/chart">
                  <c:ext xmlns:c16="http://schemas.microsoft.com/office/drawing/2014/chart" uri="{C3380CC4-5D6E-409C-BE32-E72D297353CC}">
                    <c16:uniqueId val="{00000007-DE71-4293-BF14-64779F08DB57}"/>
                  </c:ext>
                </c:extLst>
              </c15:ser>
            </c15:filteredLineSeries>
            <c15:filteredLineSeries>
              <c15:ser>
                <c:idx val="8"/>
                <c:order val="8"/>
                <c:tx>
                  <c:strRef>
                    <c:extLst>
                      <c:ext xmlns:c15="http://schemas.microsoft.com/office/drawing/2012/chart" uri="{02D57815-91ED-43cb-92C2-25804820EDAC}">
                        <c15:formulaRef>
                          <c15:sqref>Data!$A$10</c15:sqref>
                        </c15:formulaRef>
                      </c:ext>
                    </c:extLst>
                    <c:strCache>
                      <c:ptCount val="1"/>
                      <c:pt idx="0">
                        <c:v>Pedestrian Crashes:</c:v>
                      </c:pt>
                    </c:strCache>
                  </c:strRef>
                </c:tx>
                <c:spPr>
                  <a:ln w="28575" cap="rnd">
                    <a:solidFill>
                      <a:schemeClr val="accent3">
                        <a:lumMod val="6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Data!$B$1:$J$1</c15:sqref>
                        </c15:fullRef>
                        <c15:formulaRef>
                          <c15:sqref>Data!$B$1:$F$1</c15:sqref>
                        </c15:formulaRef>
                      </c:ext>
                    </c:extLst>
                    <c:strCache>
                      <c:ptCount val="5"/>
                      <c:pt idx="0">
                        <c:v>2011</c:v>
                      </c:pt>
                      <c:pt idx="1">
                        <c:v>2012</c:v>
                      </c:pt>
                      <c:pt idx="2">
                        <c:v>2013</c:v>
                      </c:pt>
                      <c:pt idx="3">
                        <c:v>2014</c:v>
                      </c:pt>
                      <c:pt idx="4">
                        <c:v>2015</c:v>
                      </c:pt>
                    </c:strCache>
                  </c:strRef>
                </c:cat>
                <c:val>
                  <c:numRef>
                    <c:extLst>
                      <c:ext xmlns:c15="http://schemas.microsoft.com/office/drawing/2012/chart" uri="{02D57815-91ED-43cb-92C2-25804820EDAC}">
                        <c15:fullRef>
                          <c15:sqref>Data!$B$10:$J$10</c15:sqref>
                        </c15:fullRef>
                        <c15:formulaRef>
                          <c15:sqref>Data!$B$10:$F$10</c15:sqref>
                        </c15:formulaRef>
                      </c:ext>
                    </c:extLst>
                    <c:numCache>
                      <c:formatCode>General</c:formatCode>
                      <c:ptCount val="5"/>
                      <c:pt idx="0">
                        <c:v>7046</c:v>
                      </c:pt>
                      <c:pt idx="1">
                        <c:v>8280</c:v>
                      </c:pt>
                      <c:pt idx="2">
                        <c:v>8421</c:v>
                      </c:pt>
                      <c:pt idx="3">
                        <c:v>8846</c:v>
                      </c:pt>
                      <c:pt idx="4">
                        <c:v>9075</c:v>
                      </c:pt>
                    </c:numCache>
                  </c:numRef>
                </c:val>
                <c:smooth val="0"/>
                <c:extLst xmlns:c15="http://schemas.microsoft.com/office/drawing/2012/chart">
                  <c:ext xmlns:c16="http://schemas.microsoft.com/office/drawing/2014/chart" uri="{C3380CC4-5D6E-409C-BE32-E72D297353CC}">
                    <c16:uniqueId val="{00000008-DE71-4293-BF14-64779F08DB57}"/>
                  </c:ext>
                </c:extLst>
              </c15:ser>
            </c15:filteredLineSeries>
            <c15:filteredLineSeries>
              <c15:ser>
                <c:idx val="9"/>
                <c:order val="9"/>
                <c:tx>
                  <c:strRef>
                    <c:extLst>
                      <c:ext xmlns:c15="http://schemas.microsoft.com/office/drawing/2012/chart" uri="{02D57815-91ED-43cb-92C2-25804820EDAC}">
                        <c15:formulaRef>
                          <c15:sqref>Data!$A$11</c15:sqref>
                        </c15:formulaRef>
                      </c:ext>
                    </c:extLst>
                    <c:strCache>
                      <c:ptCount val="1"/>
                      <c:pt idx="0">
                        <c:v>Pedestrian Fatalities:</c:v>
                      </c:pt>
                    </c:strCache>
                  </c:strRef>
                </c:tx>
                <c:spPr>
                  <a:ln w="28575" cap="rnd">
                    <a:solidFill>
                      <a:schemeClr val="accent4">
                        <a:lumMod val="6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Data!$B$1:$J$1</c15:sqref>
                        </c15:fullRef>
                        <c15:formulaRef>
                          <c15:sqref>Data!$B$1:$F$1</c15:sqref>
                        </c15:formulaRef>
                      </c:ext>
                    </c:extLst>
                    <c:strCache>
                      <c:ptCount val="5"/>
                      <c:pt idx="0">
                        <c:v>2011</c:v>
                      </c:pt>
                      <c:pt idx="1">
                        <c:v>2012</c:v>
                      </c:pt>
                      <c:pt idx="2">
                        <c:v>2013</c:v>
                      </c:pt>
                      <c:pt idx="3">
                        <c:v>2014</c:v>
                      </c:pt>
                      <c:pt idx="4">
                        <c:v>2015</c:v>
                      </c:pt>
                    </c:strCache>
                  </c:strRef>
                </c:cat>
                <c:val>
                  <c:numRef>
                    <c:extLst>
                      <c:ext xmlns:c15="http://schemas.microsoft.com/office/drawing/2012/chart" uri="{02D57815-91ED-43cb-92C2-25804820EDAC}">
                        <c15:fullRef>
                          <c15:sqref>Data!$B$11:$J$11</c15:sqref>
                        </c15:fullRef>
                        <c15:formulaRef>
                          <c15:sqref>Data!$B$11:$F$11</c15:sqref>
                        </c15:formulaRef>
                      </c:ext>
                    </c:extLst>
                    <c:numCache>
                      <c:formatCode>General</c:formatCode>
                      <c:ptCount val="5"/>
                      <c:pt idx="0">
                        <c:v>498</c:v>
                      </c:pt>
                      <c:pt idx="1">
                        <c:v>476</c:v>
                      </c:pt>
                      <c:pt idx="2">
                        <c:v>498</c:v>
                      </c:pt>
                      <c:pt idx="3">
                        <c:v>607</c:v>
                      </c:pt>
                      <c:pt idx="4">
                        <c:v>609</c:v>
                      </c:pt>
                    </c:numCache>
                  </c:numRef>
                </c:val>
                <c:smooth val="0"/>
                <c:extLst xmlns:c15="http://schemas.microsoft.com/office/drawing/2012/chart">
                  <c:ext xmlns:c16="http://schemas.microsoft.com/office/drawing/2014/chart" uri="{C3380CC4-5D6E-409C-BE32-E72D297353CC}">
                    <c16:uniqueId val="{00000009-DE71-4293-BF14-64779F08DB57}"/>
                  </c:ext>
                </c:extLst>
              </c15:ser>
            </c15:filteredLineSeries>
            <c15:filteredLineSeries>
              <c15:ser>
                <c:idx val="10"/>
                <c:order val="10"/>
                <c:tx>
                  <c:strRef>
                    <c:extLst>
                      <c:ext xmlns:c15="http://schemas.microsoft.com/office/drawing/2012/chart" uri="{02D57815-91ED-43cb-92C2-25804820EDAC}">
                        <c15:formulaRef>
                          <c15:sqref>Data!$A$12</c15:sqref>
                        </c15:formulaRef>
                      </c:ext>
                    </c:extLst>
                    <c:strCache>
                      <c:ptCount val="1"/>
                      <c:pt idx="0">
                        <c:v>Bicycle Crashes:</c:v>
                      </c:pt>
                    </c:strCache>
                  </c:strRef>
                </c:tx>
                <c:spPr>
                  <a:ln w="28575" cap="rnd">
                    <a:solidFill>
                      <a:schemeClr val="accent5">
                        <a:lumMod val="6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Data!$B$1:$J$1</c15:sqref>
                        </c15:fullRef>
                        <c15:formulaRef>
                          <c15:sqref>Data!$B$1:$F$1</c15:sqref>
                        </c15:formulaRef>
                      </c:ext>
                    </c:extLst>
                    <c:strCache>
                      <c:ptCount val="5"/>
                      <c:pt idx="0">
                        <c:v>2011</c:v>
                      </c:pt>
                      <c:pt idx="1">
                        <c:v>2012</c:v>
                      </c:pt>
                      <c:pt idx="2">
                        <c:v>2013</c:v>
                      </c:pt>
                      <c:pt idx="3">
                        <c:v>2014</c:v>
                      </c:pt>
                      <c:pt idx="4">
                        <c:v>2015</c:v>
                      </c:pt>
                    </c:strCache>
                  </c:strRef>
                </c:cat>
                <c:val>
                  <c:numRef>
                    <c:extLst>
                      <c:ext xmlns:c15="http://schemas.microsoft.com/office/drawing/2012/chart" uri="{02D57815-91ED-43cb-92C2-25804820EDAC}">
                        <c15:fullRef>
                          <c15:sqref>Data!$B$12:$J$12</c15:sqref>
                        </c15:fullRef>
                        <c15:formulaRef>
                          <c15:sqref>Data!$B$12:$F$12</c15:sqref>
                        </c15:formulaRef>
                      </c:ext>
                    </c:extLst>
                    <c:numCache>
                      <c:formatCode>General</c:formatCode>
                      <c:ptCount val="5"/>
                      <c:pt idx="0">
                        <c:v>5037</c:v>
                      </c:pt>
                      <c:pt idx="1">
                        <c:v>6442</c:v>
                      </c:pt>
                      <c:pt idx="2">
                        <c:v>6974</c:v>
                      </c:pt>
                      <c:pt idx="3">
                        <c:v>7084</c:v>
                      </c:pt>
                      <c:pt idx="4">
                        <c:v>7114</c:v>
                      </c:pt>
                    </c:numCache>
                  </c:numRef>
                </c:val>
                <c:smooth val="0"/>
                <c:extLst xmlns:c15="http://schemas.microsoft.com/office/drawing/2012/chart">
                  <c:ext xmlns:c16="http://schemas.microsoft.com/office/drawing/2014/chart" uri="{C3380CC4-5D6E-409C-BE32-E72D297353CC}">
                    <c16:uniqueId val="{0000000A-DE71-4293-BF14-64779F08DB57}"/>
                  </c:ext>
                </c:extLst>
              </c15:ser>
            </c15:filteredLineSeries>
            <c15:filteredLineSeries>
              <c15:ser>
                <c:idx val="11"/>
                <c:order val="11"/>
                <c:tx>
                  <c:strRef>
                    <c:extLst>
                      <c:ext xmlns:c15="http://schemas.microsoft.com/office/drawing/2012/chart" uri="{02D57815-91ED-43cb-92C2-25804820EDAC}">
                        <c15:formulaRef>
                          <c15:sqref>Data!$A$13</c15:sqref>
                        </c15:formulaRef>
                      </c:ext>
                    </c:extLst>
                    <c:strCache>
                      <c:ptCount val="1"/>
                      <c:pt idx="0">
                        <c:v>Bicycle Fatalities:</c:v>
                      </c:pt>
                    </c:strCache>
                  </c:strRef>
                </c:tx>
                <c:spPr>
                  <a:ln w="28575" cap="rnd">
                    <a:solidFill>
                      <a:schemeClr val="accent6">
                        <a:lumMod val="6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Data!$B$1:$J$1</c15:sqref>
                        </c15:fullRef>
                        <c15:formulaRef>
                          <c15:sqref>Data!$B$1:$F$1</c15:sqref>
                        </c15:formulaRef>
                      </c:ext>
                    </c:extLst>
                    <c:strCache>
                      <c:ptCount val="5"/>
                      <c:pt idx="0">
                        <c:v>2011</c:v>
                      </c:pt>
                      <c:pt idx="1">
                        <c:v>2012</c:v>
                      </c:pt>
                      <c:pt idx="2">
                        <c:v>2013</c:v>
                      </c:pt>
                      <c:pt idx="3">
                        <c:v>2014</c:v>
                      </c:pt>
                      <c:pt idx="4">
                        <c:v>2015</c:v>
                      </c:pt>
                    </c:strCache>
                  </c:strRef>
                </c:cat>
                <c:val>
                  <c:numRef>
                    <c:extLst>
                      <c:ext xmlns:c15="http://schemas.microsoft.com/office/drawing/2012/chart" uri="{02D57815-91ED-43cb-92C2-25804820EDAC}">
                        <c15:fullRef>
                          <c15:sqref>Data!$B$13:$J$13</c15:sqref>
                        </c15:fullRef>
                        <c15:formulaRef>
                          <c15:sqref>Data!$B$13:$F$13</c15:sqref>
                        </c15:formulaRef>
                      </c:ext>
                    </c:extLst>
                    <c:numCache>
                      <c:formatCode>General</c:formatCode>
                      <c:ptCount val="5"/>
                      <c:pt idx="0">
                        <c:v>120</c:v>
                      </c:pt>
                      <c:pt idx="1">
                        <c:v>117</c:v>
                      </c:pt>
                      <c:pt idx="2">
                        <c:v>135</c:v>
                      </c:pt>
                      <c:pt idx="3">
                        <c:v>135</c:v>
                      </c:pt>
                      <c:pt idx="4">
                        <c:v>139</c:v>
                      </c:pt>
                    </c:numCache>
                  </c:numRef>
                </c:val>
                <c:smooth val="0"/>
                <c:extLst xmlns:c15="http://schemas.microsoft.com/office/drawing/2012/chart">
                  <c:ext xmlns:c16="http://schemas.microsoft.com/office/drawing/2014/chart" uri="{C3380CC4-5D6E-409C-BE32-E72D297353CC}">
                    <c16:uniqueId val="{0000000B-DE71-4293-BF14-64779F08DB57}"/>
                  </c:ext>
                </c:extLst>
              </c15:ser>
            </c15:filteredLineSeries>
          </c:ext>
        </c:extLst>
      </c:lineChart>
      <c:catAx>
        <c:axId val="162925660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257568"/>
        <c:crosses val="autoZero"/>
        <c:auto val="1"/>
        <c:lblAlgn val="ctr"/>
        <c:lblOffset val="100"/>
        <c:noMultiLvlLbl val="0"/>
      </c:catAx>
      <c:valAx>
        <c:axId val="16292575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Count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2566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Fatalities by Category Over Time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3"/>
          <c:order val="3"/>
          <c:tx>
            <c:strRef>
              <c:f>Data!$A$5</c:f>
              <c:strCache>
                <c:ptCount val="1"/>
                <c:pt idx="0">
                  <c:v>Crashes with Traffic Fatalities: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Data!$B$1:$F$1</c15:sqref>
                  </c15:fullRef>
                </c:ext>
              </c:extLst>
              <c:f>Data!$B$1:$F$1</c:f>
              <c:strCache>
                <c:ptCount val="5"/>
                <c:pt idx="0">
                  <c:v>2011</c:v>
                </c:pt>
                <c:pt idx="1">
                  <c:v>2012</c:v>
                </c:pt>
                <c:pt idx="2">
                  <c:v>2013</c:v>
                </c:pt>
                <c:pt idx="3">
                  <c:v>2014</c:v>
                </c:pt>
                <c:pt idx="4">
                  <c:v>2015</c:v>
                </c:pt>
              </c:strCache>
            </c:strRef>
          </c:cat>
          <c:val>
            <c:numRef>
              <c:extLst>
                <c:ext xmlns:c15="http://schemas.microsoft.com/office/drawing/2012/chart" uri="{02D57815-91ED-43cb-92C2-25804820EDAC}">
                  <c15:fullRef>
                    <c15:sqref>Data!$B$5:$G$5</c15:sqref>
                  </c15:fullRef>
                </c:ext>
              </c:extLst>
              <c:f>Data!$B$5:$F$5</c:f>
              <c:numCache>
                <c:formatCode>General</c:formatCode>
                <c:ptCount val="5"/>
                <c:pt idx="0">
                  <c:v>2215</c:v>
                </c:pt>
                <c:pt idx="1">
                  <c:v>2249</c:v>
                </c:pt>
                <c:pt idx="2">
                  <c:v>2224</c:v>
                </c:pt>
                <c:pt idx="3">
                  <c:v>2339</c:v>
                </c:pt>
                <c:pt idx="4">
                  <c:v>2670</c:v>
                </c:pt>
              </c:numCache>
            </c:numRef>
          </c:val>
          <c:smooth val="0"/>
          <c:extLst>
            <c:ext xmlns:c16="http://schemas.microsoft.com/office/drawing/2014/chart" uri="{C3380CC4-5D6E-409C-BE32-E72D297353CC}">
              <c16:uniqueId val="{00000000-EBCD-49BB-9C96-0FD8BF9BE3C5}"/>
            </c:ext>
          </c:extLst>
        </c:ser>
        <c:ser>
          <c:idx val="4"/>
          <c:order val="4"/>
          <c:tx>
            <c:strRef>
              <c:f>Data!$A$6</c:f>
              <c:strCache>
                <c:ptCount val="1"/>
                <c:pt idx="0">
                  <c:v>Total Traffic Fatalities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Data!$B$1:$F$1</c15:sqref>
                  </c15:fullRef>
                </c:ext>
              </c:extLst>
              <c:f>Data!$B$1:$F$1</c:f>
              <c:strCache>
                <c:ptCount val="5"/>
                <c:pt idx="0">
                  <c:v>2011</c:v>
                </c:pt>
                <c:pt idx="1">
                  <c:v>2012</c:v>
                </c:pt>
                <c:pt idx="2">
                  <c:v>2013</c:v>
                </c:pt>
                <c:pt idx="3">
                  <c:v>2014</c:v>
                </c:pt>
                <c:pt idx="4">
                  <c:v>2015</c:v>
                </c:pt>
              </c:strCache>
            </c:strRef>
          </c:cat>
          <c:val>
            <c:numRef>
              <c:extLst>
                <c:ext xmlns:c15="http://schemas.microsoft.com/office/drawing/2012/chart" uri="{02D57815-91ED-43cb-92C2-25804820EDAC}">
                  <c15:fullRef>
                    <c15:sqref>Data!$B$6:$G$6</c15:sqref>
                  </c15:fullRef>
                </c:ext>
              </c:extLst>
              <c:f>Data!$B$6:$F$6</c:f>
              <c:numCache>
                <c:formatCode>General</c:formatCode>
                <c:ptCount val="5"/>
                <c:pt idx="0">
                  <c:v>2404</c:v>
                </c:pt>
                <c:pt idx="1">
                  <c:v>2420</c:v>
                </c:pt>
                <c:pt idx="2">
                  <c:v>2403</c:v>
                </c:pt>
                <c:pt idx="3">
                  <c:v>2497</c:v>
                </c:pt>
                <c:pt idx="4">
                  <c:v>2898</c:v>
                </c:pt>
              </c:numCache>
            </c:numRef>
          </c:val>
          <c:smooth val="0"/>
          <c:extLst>
            <c:ext xmlns:c16="http://schemas.microsoft.com/office/drawing/2014/chart" uri="{C3380CC4-5D6E-409C-BE32-E72D297353CC}">
              <c16:uniqueId val="{00000001-EBCD-49BB-9C96-0FD8BF9BE3C5}"/>
            </c:ext>
          </c:extLst>
        </c:ser>
        <c:ser>
          <c:idx val="9"/>
          <c:order val="9"/>
          <c:tx>
            <c:strRef>
              <c:f>Data!$A$11</c:f>
              <c:strCache>
                <c:ptCount val="1"/>
                <c:pt idx="0">
                  <c:v>Pedestrian Fatalities:</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Data!$B$1:$F$1</c15:sqref>
                  </c15:fullRef>
                </c:ext>
              </c:extLst>
              <c:f>Data!$B$1:$F$1</c:f>
              <c:strCache>
                <c:ptCount val="5"/>
                <c:pt idx="0">
                  <c:v>2011</c:v>
                </c:pt>
                <c:pt idx="1">
                  <c:v>2012</c:v>
                </c:pt>
                <c:pt idx="2">
                  <c:v>2013</c:v>
                </c:pt>
                <c:pt idx="3">
                  <c:v>2014</c:v>
                </c:pt>
                <c:pt idx="4">
                  <c:v>2015</c:v>
                </c:pt>
              </c:strCache>
            </c:strRef>
          </c:cat>
          <c:val>
            <c:numRef>
              <c:extLst>
                <c:ext xmlns:c15="http://schemas.microsoft.com/office/drawing/2012/chart" uri="{02D57815-91ED-43cb-92C2-25804820EDAC}">
                  <c15:fullRef>
                    <c15:sqref>Data!$B$11:$G$11</c15:sqref>
                  </c15:fullRef>
                </c:ext>
              </c:extLst>
              <c:f>Data!$B$11:$F$11</c:f>
              <c:numCache>
                <c:formatCode>General</c:formatCode>
                <c:ptCount val="5"/>
                <c:pt idx="0">
                  <c:v>498</c:v>
                </c:pt>
                <c:pt idx="1">
                  <c:v>476</c:v>
                </c:pt>
                <c:pt idx="2">
                  <c:v>498</c:v>
                </c:pt>
                <c:pt idx="3">
                  <c:v>607</c:v>
                </c:pt>
                <c:pt idx="4">
                  <c:v>609</c:v>
                </c:pt>
              </c:numCache>
            </c:numRef>
          </c:val>
          <c:smooth val="0"/>
          <c:extLst>
            <c:ext xmlns:c16="http://schemas.microsoft.com/office/drawing/2014/chart" uri="{C3380CC4-5D6E-409C-BE32-E72D297353CC}">
              <c16:uniqueId val="{00000002-EBCD-49BB-9C96-0FD8BF9BE3C5}"/>
            </c:ext>
          </c:extLst>
        </c:ser>
        <c:ser>
          <c:idx val="11"/>
          <c:order val="11"/>
          <c:tx>
            <c:strRef>
              <c:f>Data!$A$13</c:f>
              <c:strCache>
                <c:ptCount val="1"/>
                <c:pt idx="0">
                  <c:v>Bicycle Fatalities:</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Data!$B$1:$F$1</c15:sqref>
                  </c15:fullRef>
                </c:ext>
              </c:extLst>
              <c:f>Data!$B$1:$F$1</c:f>
              <c:strCache>
                <c:ptCount val="5"/>
                <c:pt idx="0">
                  <c:v>2011</c:v>
                </c:pt>
                <c:pt idx="1">
                  <c:v>2012</c:v>
                </c:pt>
                <c:pt idx="2">
                  <c:v>2013</c:v>
                </c:pt>
                <c:pt idx="3">
                  <c:v>2014</c:v>
                </c:pt>
                <c:pt idx="4">
                  <c:v>2015</c:v>
                </c:pt>
              </c:strCache>
            </c:strRef>
          </c:cat>
          <c:val>
            <c:numRef>
              <c:extLst>
                <c:ext xmlns:c15="http://schemas.microsoft.com/office/drawing/2012/chart" uri="{02D57815-91ED-43cb-92C2-25804820EDAC}">
                  <c15:fullRef>
                    <c15:sqref>Data!$B$13:$G$13</c15:sqref>
                  </c15:fullRef>
                </c:ext>
              </c:extLst>
              <c:f>Data!$B$13:$F$13</c:f>
              <c:numCache>
                <c:formatCode>General</c:formatCode>
                <c:ptCount val="5"/>
                <c:pt idx="0">
                  <c:v>120</c:v>
                </c:pt>
                <c:pt idx="1">
                  <c:v>117</c:v>
                </c:pt>
                <c:pt idx="2">
                  <c:v>135</c:v>
                </c:pt>
                <c:pt idx="3">
                  <c:v>135</c:v>
                </c:pt>
                <c:pt idx="4">
                  <c:v>139</c:v>
                </c:pt>
              </c:numCache>
            </c:numRef>
          </c:val>
          <c:smooth val="0"/>
          <c:extLst>
            <c:ext xmlns:c16="http://schemas.microsoft.com/office/drawing/2014/chart" uri="{C3380CC4-5D6E-409C-BE32-E72D297353CC}">
              <c16:uniqueId val="{00000003-EBCD-49BB-9C96-0FD8BF9BE3C5}"/>
            </c:ext>
          </c:extLst>
        </c:ser>
        <c:dLbls>
          <c:dLblPos val="r"/>
          <c:showLegendKey val="0"/>
          <c:showVal val="1"/>
          <c:showCatName val="0"/>
          <c:showSerName val="0"/>
          <c:showPercent val="0"/>
          <c:showBubbleSize val="0"/>
        </c:dLbls>
        <c:marker val="1"/>
        <c:smooth val="0"/>
        <c:axId val="1295804607"/>
        <c:axId val="1295782527"/>
        <c:extLst>
          <c:ext xmlns:c15="http://schemas.microsoft.com/office/drawing/2012/chart" uri="{02D57815-91ED-43cb-92C2-25804820EDAC}">
            <c15:filteredLineSeries>
              <c15:ser>
                <c:idx val="0"/>
                <c:order val="0"/>
                <c:tx>
                  <c:strRef>
                    <c:extLst>
                      <c:ext uri="{02D57815-91ED-43cb-92C2-25804820EDAC}">
                        <c15:formulaRef>
                          <c15:sqref>Data!$A$2</c15:sqref>
                        </c15:formulaRef>
                      </c:ext>
                    </c:extLst>
                    <c:strCache>
                      <c:ptCount val="1"/>
                      <c:pt idx="0">
                        <c:v>Total Crashes: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Data!$B$1:$F$1</c15:sqref>
                        </c15:fullRef>
                        <c15:formulaRef>
                          <c15:sqref>Data!$B$1:$F$1</c15:sqref>
                        </c15:formulaRef>
                      </c:ext>
                    </c:extLst>
                    <c:strCache>
                      <c:ptCount val="5"/>
                      <c:pt idx="0">
                        <c:v>2011</c:v>
                      </c:pt>
                      <c:pt idx="1">
                        <c:v>2012</c:v>
                      </c:pt>
                      <c:pt idx="2">
                        <c:v>2013</c:v>
                      </c:pt>
                      <c:pt idx="3">
                        <c:v>2014</c:v>
                      </c:pt>
                      <c:pt idx="4">
                        <c:v>2015</c:v>
                      </c:pt>
                    </c:strCache>
                  </c:strRef>
                </c:cat>
                <c:val>
                  <c:numRef>
                    <c:extLst>
                      <c:ext uri="{02D57815-91ED-43cb-92C2-25804820EDAC}">
                        <c15:fullRef>
                          <c15:sqref>Data!$B$2:$G$2</c15:sqref>
                        </c15:fullRef>
                        <c15:formulaRef>
                          <c15:sqref>Data!$B$2:$F$2</c15:sqref>
                        </c15:formulaRef>
                      </c:ext>
                    </c:extLst>
                    <c:numCache>
                      <c:formatCode>General</c:formatCode>
                      <c:ptCount val="5"/>
                      <c:pt idx="0">
                        <c:v>229210</c:v>
                      </c:pt>
                      <c:pt idx="1">
                        <c:v>283367</c:v>
                      </c:pt>
                      <c:pt idx="2">
                        <c:v>317197</c:v>
                      </c:pt>
                      <c:pt idx="3">
                        <c:v>344336</c:v>
                      </c:pt>
                      <c:pt idx="4">
                        <c:v>374003</c:v>
                      </c:pt>
                    </c:numCache>
                  </c:numRef>
                </c:val>
                <c:smooth val="0"/>
                <c:extLst>
                  <c:ext xmlns:c16="http://schemas.microsoft.com/office/drawing/2014/chart" uri="{C3380CC4-5D6E-409C-BE32-E72D297353CC}">
                    <c16:uniqueId val="{00000004-EBCD-49BB-9C96-0FD8BF9BE3C5}"/>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Data!$A$3</c15:sqref>
                        </c15:formulaRef>
                      </c:ext>
                    </c:extLst>
                    <c:strCache>
                      <c:ptCount val="1"/>
                      <c:pt idx="0">
                        <c:v>Injury Crashes: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Data!$B$1:$F$1</c15:sqref>
                        </c15:fullRef>
                        <c15:formulaRef>
                          <c15:sqref>Data!$B$1:$F$1</c15:sqref>
                        </c15:formulaRef>
                      </c:ext>
                    </c:extLst>
                    <c:strCache>
                      <c:ptCount val="5"/>
                      <c:pt idx="0">
                        <c:v>2011</c:v>
                      </c:pt>
                      <c:pt idx="1">
                        <c:v>2012</c:v>
                      </c:pt>
                      <c:pt idx="2">
                        <c:v>2013</c:v>
                      </c:pt>
                      <c:pt idx="3">
                        <c:v>2014</c:v>
                      </c:pt>
                      <c:pt idx="4">
                        <c:v>2015</c:v>
                      </c:pt>
                    </c:strCache>
                  </c:strRef>
                </c:cat>
                <c:val>
                  <c:numRef>
                    <c:extLst>
                      <c:ext xmlns:c15="http://schemas.microsoft.com/office/drawing/2012/chart" uri="{02D57815-91ED-43cb-92C2-25804820EDAC}">
                        <c15:fullRef>
                          <c15:sqref>Data!$B$3:$G$3</c15:sqref>
                        </c15:fullRef>
                        <c15:formulaRef>
                          <c15:sqref>Data!$B$3:$F$3</c15:sqref>
                        </c15:formulaRef>
                      </c:ext>
                    </c:extLst>
                    <c:numCache>
                      <c:formatCode>General</c:formatCode>
                      <c:ptCount val="5"/>
                      <c:pt idx="0">
                        <c:v>118157</c:v>
                      </c:pt>
                      <c:pt idx="1">
                        <c:v>130333</c:v>
                      </c:pt>
                      <c:pt idx="2">
                        <c:v>140204</c:v>
                      </c:pt>
                      <c:pt idx="3">
                        <c:v>149493</c:v>
                      </c:pt>
                      <c:pt idx="4">
                        <c:v>159765</c:v>
                      </c:pt>
                    </c:numCache>
                  </c:numRef>
                </c:val>
                <c:smooth val="0"/>
                <c:extLst xmlns:c15="http://schemas.microsoft.com/office/drawing/2012/chart">
                  <c:ext xmlns:c16="http://schemas.microsoft.com/office/drawing/2014/chart" uri="{C3380CC4-5D6E-409C-BE32-E72D297353CC}">
                    <c16:uniqueId val="{00000005-EBCD-49BB-9C96-0FD8BF9BE3C5}"/>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Data!$A$4</c15:sqref>
                        </c15:formulaRef>
                      </c:ext>
                    </c:extLst>
                    <c:strCache>
                      <c:ptCount val="1"/>
                      <c:pt idx="0">
                        <c:v>Total Injuries: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Data!$B$1:$F$1</c15:sqref>
                        </c15:fullRef>
                        <c15:formulaRef>
                          <c15:sqref>Data!$B$1:$F$1</c15:sqref>
                        </c15:formulaRef>
                      </c:ext>
                    </c:extLst>
                    <c:strCache>
                      <c:ptCount val="5"/>
                      <c:pt idx="0">
                        <c:v>2011</c:v>
                      </c:pt>
                      <c:pt idx="1">
                        <c:v>2012</c:v>
                      </c:pt>
                      <c:pt idx="2">
                        <c:v>2013</c:v>
                      </c:pt>
                      <c:pt idx="3">
                        <c:v>2014</c:v>
                      </c:pt>
                      <c:pt idx="4">
                        <c:v>2015</c:v>
                      </c:pt>
                    </c:strCache>
                  </c:strRef>
                </c:cat>
                <c:val>
                  <c:numRef>
                    <c:extLst>
                      <c:ext xmlns:c15="http://schemas.microsoft.com/office/drawing/2012/chart" uri="{02D57815-91ED-43cb-92C2-25804820EDAC}">
                        <c15:fullRef>
                          <c15:sqref>Data!$B$4:$G$4</c15:sqref>
                        </c15:fullRef>
                        <c15:formulaRef>
                          <c15:sqref>Data!$B$4:$F$4</c15:sqref>
                        </c15:formulaRef>
                      </c:ext>
                    </c:extLst>
                    <c:numCache>
                      <c:formatCode>General</c:formatCode>
                      <c:ptCount val="5"/>
                      <c:pt idx="0">
                        <c:v>182007</c:v>
                      </c:pt>
                      <c:pt idx="1">
                        <c:v>198484</c:v>
                      </c:pt>
                      <c:pt idx="2">
                        <c:v>211085</c:v>
                      </c:pt>
                      <c:pt idx="3">
                        <c:v>225716</c:v>
                      </c:pt>
                      <c:pt idx="4">
                        <c:v>243229</c:v>
                      </c:pt>
                    </c:numCache>
                  </c:numRef>
                </c:val>
                <c:smooth val="0"/>
                <c:extLst xmlns:c15="http://schemas.microsoft.com/office/drawing/2012/chart">
                  <c:ext xmlns:c16="http://schemas.microsoft.com/office/drawing/2014/chart" uri="{C3380CC4-5D6E-409C-BE32-E72D297353CC}">
                    <c16:uniqueId val="{00000006-EBCD-49BB-9C96-0FD8BF9BE3C5}"/>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Data!$A$7</c15:sqref>
                        </c15:formulaRef>
                      </c:ext>
                    </c:extLst>
                    <c:strCache>
                      <c:ptCount val="1"/>
                      <c:pt idx="0">
                        <c:v>Commercial Vehicle Crashes: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Data!$B$1:$F$1</c15:sqref>
                        </c15:fullRef>
                        <c15:formulaRef>
                          <c15:sqref>Data!$B$1:$F$1</c15:sqref>
                        </c15:formulaRef>
                      </c:ext>
                    </c:extLst>
                    <c:strCache>
                      <c:ptCount val="5"/>
                      <c:pt idx="0">
                        <c:v>2011</c:v>
                      </c:pt>
                      <c:pt idx="1">
                        <c:v>2012</c:v>
                      </c:pt>
                      <c:pt idx="2">
                        <c:v>2013</c:v>
                      </c:pt>
                      <c:pt idx="3">
                        <c:v>2014</c:v>
                      </c:pt>
                      <c:pt idx="4">
                        <c:v>2015</c:v>
                      </c:pt>
                    </c:strCache>
                  </c:strRef>
                </c:cat>
                <c:val>
                  <c:numRef>
                    <c:extLst>
                      <c:ext xmlns:c15="http://schemas.microsoft.com/office/drawing/2012/chart" uri="{02D57815-91ED-43cb-92C2-25804820EDAC}">
                        <c15:fullRef>
                          <c15:sqref>Data!$B$7:$G$7</c15:sqref>
                        </c15:fullRef>
                        <c15:formulaRef>
                          <c15:sqref>Data!$B$7:$F$7</c15:sqref>
                        </c15:formulaRef>
                      </c:ext>
                    </c:extLst>
                    <c:numCache>
                      <c:formatCode>General</c:formatCode>
                      <c:ptCount val="5"/>
                      <c:pt idx="0">
                        <c:v>11459</c:v>
                      </c:pt>
                      <c:pt idx="1">
                        <c:v>29473</c:v>
                      </c:pt>
                      <c:pt idx="2">
                        <c:v>32091</c:v>
                      </c:pt>
                      <c:pt idx="3">
                        <c:v>34439</c:v>
                      </c:pt>
                      <c:pt idx="4">
                        <c:v>38199</c:v>
                      </c:pt>
                    </c:numCache>
                  </c:numRef>
                </c:val>
                <c:smooth val="0"/>
                <c:extLst xmlns:c15="http://schemas.microsoft.com/office/drawing/2012/chart">
                  <c:ext xmlns:c16="http://schemas.microsoft.com/office/drawing/2014/chart" uri="{C3380CC4-5D6E-409C-BE32-E72D297353CC}">
                    <c16:uniqueId val="{00000007-EBCD-49BB-9C96-0FD8BF9BE3C5}"/>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Data!$A$8</c15:sqref>
                        </c15:formulaRef>
                      </c:ext>
                    </c:extLst>
                    <c:strCache>
                      <c:ptCount val="1"/>
                      <c:pt idx="0">
                        <c:v>Commercial Vehicles:</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Data!$B$1:$F$1</c15:sqref>
                        </c15:fullRef>
                        <c15:formulaRef>
                          <c15:sqref>Data!$B$1:$F$1</c15:sqref>
                        </c15:formulaRef>
                      </c:ext>
                    </c:extLst>
                    <c:strCache>
                      <c:ptCount val="5"/>
                      <c:pt idx="0">
                        <c:v>2011</c:v>
                      </c:pt>
                      <c:pt idx="1">
                        <c:v>2012</c:v>
                      </c:pt>
                      <c:pt idx="2">
                        <c:v>2013</c:v>
                      </c:pt>
                      <c:pt idx="3">
                        <c:v>2014</c:v>
                      </c:pt>
                      <c:pt idx="4">
                        <c:v>2015</c:v>
                      </c:pt>
                    </c:strCache>
                  </c:strRef>
                </c:cat>
                <c:val>
                  <c:numRef>
                    <c:extLst>
                      <c:ext xmlns:c15="http://schemas.microsoft.com/office/drawing/2012/chart" uri="{02D57815-91ED-43cb-92C2-25804820EDAC}">
                        <c15:fullRef>
                          <c15:sqref>Data!$B$8:$G$8</c15:sqref>
                        </c15:fullRef>
                        <c15:formulaRef>
                          <c15:sqref>Data!$B$8:$F$8</c15:sqref>
                        </c15:formulaRef>
                      </c:ext>
                    </c:extLst>
                    <c:numCache>
                      <c:formatCode>General</c:formatCode>
                      <c:ptCount val="5"/>
                      <c:pt idx="0">
                        <c:v>12191</c:v>
                      </c:pt>
                      <c:pt idx="1">
                        <c:v>31639</c:v>
                      </c:pt>
                      <c:pt idx="2">
                        <c:v>34840</c:v>
                      </c:pt>
                      <c:pt idx="3">
                        <c:v>37349</c:v>
                      </c:pt>
                      <c:pt idx="4">
                        <c:v>41196</c:v>
                      </c:pt>
                    </c:numCache>
                  </c:numRef>
                </c:val>
                <c:smooth val="0"/>
                <c:extLst xmlns:c15="http://schemas.microsoft.com/office/drawing/2012/chart">
                  <c:ext xmlns:c16="http://schemas.microsoft.com/office/drawing/2014/chart" uri="{C3380CC4-5D6E-409C-BE32-E72D297353CC}">
                    <c16:uniqueId val="{00000008-EBCD-49BB-9C96-0FD8BF9BE3C5}"/>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Data!$A$9</c15:sqref>
                        </c15:formulaRef>
                      </c:ext>
                    </c:extLst>
                    <c:strCache>
                      <c:ptCount val="1"/>
                      <c:pt idx="0">
                        <c:v>Property Damage Crashes:</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Data!$B$1:$F$1</c15:sqref>
                        </c15:fullRef>
                        <c15:formulaRef>
                          <c15:sqref>Data!$B$1:$F$1</c15:sqref>
                        </c15:formulaRef>
                      </c:ext>
                    </c:extLst>
                    <c:strCache>
                      <c:ptCount val="5"/>
                      <c:pt idx="0">
                        <c:v>2011</c:v>
                      </c:pt>
                      <c:pt idx="1">
                        <c:v>2012</c:v>
                      </c:pt>
                      <c:pt idx="2">
                        <c:v>2013</c:v>
                      </c:pt>
                      <c:pt idx="3">
                        <c:v>2014</c:v>
                      </c:pt>
                      <c:pt idx="4">
                        <c:v>2015</c:v>
                      </c:pt>
                    </c:strCache>
                  </c:strRef>
                </c:cat>
                <c:val>
                  <c:numRef>
                    <c:extLst>
                      <c:ext xmlns:c15="http://schemas.microsoft.com/office/drawing/2012/chart" uri="{02D57815-91ED-43cb-92C2-25804820EDAC}">
                        <c15:fullRef>
                          <c15:sqref>Data!$B$9:$G$9</c15:sqref>
                        </c15:fullRef>
                        <c15:formulaRef>
                          <c15:sqref>Data!$B$9:$F$9</c15:sqref>
                        </c15:formulaRef>
                      </c:ext>
                    </c:extLst>
                    <c:numCache>
                      <c:formatCode>General</c:formatCode>
                      <c:ptCount val="5"/>
                      <c:pt idx="0">
                        <c:v>108838</c:v>
                      </c:pt>
                      <c:pt idx="1">
                        <c:v>150785</c:v>
                      </c:pt>
                      <c:pt idx="2">
                        <c:v>174769</c:v>
                      </c:pt>
                      <c:pt idx="3">
                        <c:v>192504</c:v>
                      </c:pt>
                      <c:pt idx="4">
                        <c:v>211568</c:v>
                      </c:pt>
                    </c:numCache>
                  </c:numRef>
                </c:val>
                <c:smooth val="0"/>
                <c:extLst xmlns:c15="http://schemas.microsoft.com/office/drawing/2012/chart">
                  <c:ext xmlns:c16="http://schemas.microsoft.com/office/drawing/2014/chart" uri="{C3380CC4-5D6E-409C-BE32-E72D297353CC}">
                    <c16:uniqueId val="{00000009-EBCD-49BB-9C96-0FD8BF9BE3C5}"/>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Data!$A$10</c15:sqref>
                        </c15:formulaRef>
                      </c:ext>
                    </c:extLst>
                    <c:strCache>
                      <c:ptCount val="1"/>
                      <c:pt idx="0">
                        <c:v>Pedestrian Crashes:</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Data!$B$1:$F$1</c15:sqref>
                        </c15:fullRef>
                        <c15:formulaRef>
                          <c15:sqref>Data!$B$1:$F$1</c15:sqref>
                        </c15:formulaRef>
                      </c:ext>
                    </c:extLst>
                    <c:strCache>
                      <c:ptCount val="5"/>
                      <c:pt idx="0">
                        <c:v>2011</c:v>
                      </c:pt>
                      <c:pt idx="1">
                        <c:v>2012</c:v>
                      </c:pt>
                      <c:pt idx="2">
                        <c:v>2013</c:v>
                      </c:pt>
                      <c:pt idx="3">
                        <c:v>2014</c:v>
                      </c:pt>
                      <c:pt idx="4">
                        <c:v>2015</c:v>
                      </c:pt>
                    </c:strCache>
                  </c:strRef>
                </c:cat>
                <c:val>
                  <c:numRef>
                    <c:extLst>
                      <c:ext xmlns:c15="http://schemas.microsoft.com/office/drawing/2012/chart" uri="{02D57815-91ED-43cb-92C2-25804820EDAC}">
                        <c15:fullRef>
                          <c15:sqref>Data!$B$10:$G$10</c15:sqref>
                        </c15:fullRef>
                        <c15:formulaRef>
                          <c15:sqref>Data!$B$10:$F$10</c15:sqref>
                        </c15:formulaRef>
                      </c:ext>
                    </c:extLst>
                    <c:numCache>
                      <c:formatCode>General</c:formatCode>
                      <c:ptCount val="5"/>
                      <c:pt idx="0">
                        <c:v>7046</c:v>
                      </c:pt>
                      <c:pt idx="1">
                        <c:v>8280</c:v>
                      </c:pt>
                      <c:pt idx="2">
                        <c:v>8421</c:v>
                      </c:pt>
                      <c:pt idx="3">
                        <c:v>8846</c:v>
                      </c:pt>
                      <c:pt idx="4">
                        <c:v>9075</c:v>
                      </c:pt>
                    </c:numCache>
                  </c:numRef>
                </c:val>
                <c:smooth val="0"/>
                <c:extLst xmlns:c15="http://schemas.microsoft.com/office/drawing/2012/chart">
                  <c:ext xmlns:c16="http://schemas.microsoft.com/office/drawing/2014/chart" uri="{C3380CC4-5D6E-409C-BE32-E72D297353CC}">
                    <c16:uniqueId val="{0000000A-EBCD-49BB-9C96-0FD8BF9BE3C5}"/>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Data!$A$12</c15:sqref>
                        </c15:formulaRef>
                      </c:ext>
                    </c:extLst>
                    <c:strCache>
                      <c:ptCount val="1"/>
                      <c:pt idx="0">
                        <c:v>Bicycle Crashes:</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Data!$B$1:$F$1</c15:sqref>
                        </c15:fullRef>
                        <c15:formulaRef>
                          <c15:sqref>Data!$B$1:$F$1</c15:sqref>
                        </c15:formulaRef>
                      </c:ext>
                    </c:extLst>
                    <c:strCache>
                      <c:ptCount val="5"/>
                      <c:pt idx="0">
                        <c:v>2011</c:v>
                      </c:pt>
                      <c:pt idx="1">
                        <c:v>2012</c:v>
                      </c:pt>
                      <c:pt idx="2">
                        <c:v>2013</c:v>
                      </c:pt>
                      <c:pt idx="3">
                        <c:v>2014</c:v>
                      </c:pt>
                      <c:pt idx="4">
                        <c:v>2015</c:v>
                      </c:pt>
                    </c:strCache>
                  </c:strRef>
                </c:cat>
                <c:val>
                  <c:numRef>
                    <c:extLst>
                      <c:ext xmlns:c15="http://schemas.microsoft.com/office/drawing/2012/chart" uri="{02D57815-91ED-43cb-92C2-25804820EDAC}">
                        <c15:fullRef>
                          <c15:sqref>Data!$B$12:$G$12</c15:sqref>
                        </c15:fullRef>
                        <c15:formulaRef>
                          <c15:sqref>Data!$B$12:$F$12</c15:sqref>
                        </c15:formulaRef>
                      </c:ext>
                    </c:extLst>
                    <c:numCache>
                      <c:formatCode>General</c:formatCode>
                      <c:ptCount val="5"/>
                      <c:pt idx="0">
                        <c:v>5037</c:v>
                      </c:pt>
                      <c:pt idx="1">
                        <c:v>6442</c:v>
                      </c:pt>
                      <c:pt idx="2">
                        <c:v>6974</c:v>
                      </c:pt>
                      <c:pt idx="3">
                        <c:v>7084</c:v>
                      </c:pt>
                      <c:pt idx="4">
                        <c:v>7114</c:v>
                      </c:pt>
                    </c:numCache>
                  </c:numRef>
                </c:val>
                <c:smooth val="0"/>
                <c:extLst xmlns:c15="http://schemas.microsoft.com/office/drawing/2012/chart">
                  <c:ext xmlns:c16="http://schemas.microsoft.com/office/drawing/2014/chart" uri="{C3380CC4-5D6E-409C-BE32-E72D297353CC}">
                    <c16:uniqueId val="{0000000B-EBCD-49BB-9C96-0FD8BF9BE3C5}"/>
                  </c:ext>
                </c:extLst>
              </c15:ser>
            </c15:filteredLineSeries>
          </c:ext>
        </c:extLst>
      </c:lineChart>
      <c:catAx>
        <c:axId val="12958046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782527"/>
        <c:crosses val="autoZero"/>
        <c:auto val="1"/>
        <c:lblAlgn val="ctr"/>
        <c:lblOffset val="100"/>
        <c:noMultiLvlLbl val="0"/>
      </c:catAx>
      <c:valAx>
        <c:axId val="1295782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8046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Comparision of crash Categories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Data!$A$3</c:f>
              <c:strCache>
                <c:ptCount val="1"/>
                <c:pt idx="0">
                  <c:v>Injury Crashes:</c:v>
                </c:pt>
              </c:strCache>
            </c:strRef>
          </c:tx>
          <c:spPr>
            <a:solidFill>
              <a:schemeClr val="accent2"/>
            </a:solidFill>
            <a:ln>
              <a:noFill/>
            </a:ln>
            <a:effectLst/>
          </c:spPr>
          <c:invertIfNegative val="0"/>
          <c:cat>
            <c:strRef>
              <c:extLst>
                <c:ext xmlns:c15="http://schemas.microsoft.com/office/drawing/2012/chart" uri="{02D57815-91ED-43cb-92C2-25804820EDAC}">
                  <c15:fullRef>
                    <c15:sqref>Data!$B$1:$F$1</c15:sqref>
                  </c15:fullRef>
                </c:ext>
              </c:extLst>
              <c:f>Data!$B$1:$F$1</c:f>
              <c:strCache>
                <c:ptCount val="5"/>
                <c:pt idx="0">
                  <c:v>2011</c:v>
                </c:pt>
                <c:pt idx="1">
                  <c:v>2012</c:v>
                </c:pt>
                <c:pt idx="2">
                  <c:v>2013</c:v>
                </c:pt>
                <c:pt idx="3">
                  <c:v>2014</c:v>
                </c:pt>
                <c:pt idx="4">
                  <c:v>2015</c:v>
                </c:pt>
              </c:strCache>
            </c:strRef>
          </c:cat>
          <c:val>
            <c:numRef>
              <c:extLst>
                <c:ext xmlns:c15="http://schemas.microsoft.com/office/drawing/2012/chart" uri="{02D57815-91ED-43cb-92C2-25804820EDAC}">
                  <c15:fullRef>
                    <c15:sqref>Data!$B$3:$G$3</c15:sqref>
                  </c15:fullRef>
                </c:ext>
              </c:extLst>
              <c:f>Data!$B$3:$F$3</c:f>
              <c:numCache>
                <c:formatCode>General</c:formatCode>
                <c:ptCount val="5"/>
                <c:pt idx="0">
                  <c:v>118157</c:v>
                </c:pt>
                <c:pt idx="1">
                  <c:v>130333</c:v>
                </c:pt>
                <c:pt idx="2">
                  <c:v>140204</c:v>
                </c:pt>
                <c:pt idx="3">
                  <c:v>149493</c:v>
                </c:pt>
                <c:pt idx="4">
                  <c:v>159765</c:v>
                </c:pt>
              </c:numCache>
            </c:numRef>
          </c:val>
          <c:extLst>
            <c:ext xmlns:c16="http://schemas.microsoft.com/office/drawing/2014/chart" uri="{C3380CC4-5D6E-409C-BE32-E72D297353CC}">
              <c16:uniqueId val="{00000000-4DF6-4C9E-A455-0441E5BCE845}"/>
            </c:ext>
          </c:extLst>
        </c:ser>
        <c:ser>
          <c:idx val="5"/>
          <c:order val="5"/>
          <c:tx>
            <c:strRef>
              <c:f>Data!$A$7</c:f>
              <c:strCache>
                <c:ptCount val="1"/>
                <c:pt idx="0">
                  <c:v>Commercial Vehicle Crashes:</c:v>
                </c:pt>
              </c:strCache>
            </c:strRef>
          </c:tx>
          <c:spPr>
            <a:solidFill>
              <a:schemeClr val="accent6"/>
            </a:solidFill>
            <a:ln>
              <a:noFill/>
            </a:ln>
            <a:effectLst/>
          </c:spPr>
          <c:invertIfNegative val="0"/>
          <c:cat>
            <c:strRef>
              <c:extLst>
                <c:ext xmlns:c15="http://schemas.microsoft.com/office/drawing/2012/chart" uri="{02D57815-91ED-43cb-92C2-25804820EDAC}">
                  <c15:fullRef>
                    <c15:sqref>Data!$B$1:$F$1</c15:sqref>
                  </c15:fullRef>
                </c:ext>
              </c:extLst>
              <c:f>Data!$B$1:$F$1</c:f>
              <c:strCache>
                <c:ptCount val="5"/>
                <c:pt idx="0">
                  <c:v>2011</c:v>
                </c:pt>
                <c:pt idx="1">
                  <c:v>2012</c:v>
                </c:pt>
                <c:pt idx="2">
                  <c:v>2013</c:v>
                </c:pt>
                <c:pt idx="3">
                  <c:v>2014</c:v>
                </c:pt>
                <c:pt idx="4">
                  <c:v>2015</c:v>
                </c:pt>
              </c:strCache>
            </c:strRef>
          </c:cat>
          <c:val>
            <c:numRef>
              <c:extLst>
                <c:ext xmlns:c15="http://schemas.microsoft.com/office/drawing/2012/chart" uri="{02D57815-91ED-43cb-92C2-25804820EDAC}">
                  <c15:fullRef>
                    <c15:sqref>Data!$B$7:$G$7</c15:sqref>
                  </c15:fullRef>
                </c:ext>
              </c:extLst>
              <c:f>Data!$B$7:$F$7</c:f>
              <c:numCache>
                <c:formatCode>General</c:formatCode>
                <c:ptCount val="5"/>
                <c:pt idx="0">
                  <c:v>11459</c:v>
                </c:pt>
                <c:pt idx="1">
                  <c:v>29473</c:v>
                </c:pt>
                <c:pt idx="2">
                  <c:v>32091</c:v>
                </c:pt>
                <c:pt idx="3">
                  <c:v>34439</c:v>
                </c:pt>
                <c:pt idx="4">
                  <c:v>38199</c:v>
                </c:pt>
              </c:numCache>
            </c:numRef>
          </c:val>
          <c:extLst>
            <c:ext xmlns:c16="http://schemas.microsoft.com/office/drawing/2014/chart" uri="{C3380CC4-5D6E-409C-BE32-E72D297353CC}">
              <c16:uniqueId val="{00000001-4DF6-4C9E-A455-0441E5BCE845}"/>
            </c:ext>
          </c:extLst>
        </c:ser>
        <c:ser>
          <c:idx val="7"/>
          <c:order val="7"/>
          <c:tx>
            <c:strRef>
              <c:f>Data!$A$9</c:f>
              <c:strCache>
                <c:ptCount val="1"/>
                <c:pt idx="0">
                  <c:v>Property Damage Crashes:</c:v>
                </c:pt>
              </c:strCache>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Data!$B$1:$F$1</c15:sqref>
                  </c15:fullRef>
                </c:ext>
              </c:extLst>
              <c:f>Data!$B$1:$F$1</c:f>
              <c:strCache>
                <c:ptCount val="5"/>
                <c:pt idx="0">
                  <c:v>2011</c:v>
                </c:pt>
                <c:pt idx="1">
                  <c:v>2012</c:v>
                </c:pt>
                <c:pt idx="2">
                  <c:v>2013</c:v>
                </c:pt>
                <c:pt idx="3">
                  <c:v>2014</c:v>
                </c:pt>
                <c:pt idx="4">
                  <c:v>2015</c:v>
                </c:pt>
              </c:strCache>
            </c:strRef>
          </c:cat>
          <c:val>
            <c:numRef>
              <c:extLst>
                <c:ext xmlns:c15="http://schemas.microsoft.com/office/drawing/2012/chart" uri="{02D57815-91ED-43cb-92C2-25804820EDAC}">
                  <c15:fullRef>
                    <c15:sqref>Data!$B$9:$G$9</c15:sqref>
                  </c15:fullRef>
                </c:ext>
              </c:extLst>
              <c:f>Data!$B$9:$F$9</c:f>
              <c:numCache>
                <c:formatCode>General</c:formatCode>
                <c:ptCount val="5"/>
                <c:pt idx="0">
                  <c:v>108838</c:v>
                </c:pt>
                <c:pt idx="1">
                  <c:v>150785</c:v>
                </c:pt>
                <c:pt idx="2">
                  <c:v>174769</c:v>
                </c:pt>
                <c:pt idx="3">
                  <c:v>192504</c:v>
                </c:pt>
                <c:pt idx="4">
                  <c:v>211568</c:v>
                </c:pt>
              </c:numCache>
            </c:numRef>
          </c:val>
          <c:extLst>
            <c:ext xmlns:c16="http://schemas.microsoft.com/office/drawing/2014/chart" uri="{C3380CC4-5D6E-409C-BE32-E72D297353CC}">
              <c16:uniqueId val="{00000002-4DF6-4C9E-A455-0441E5BCE845}"/>
            </c:ext>
          </c:extLst>
        </c:ser>
        <c:ser>
          <c:idx val="8"/>
          <c:order val="8"/>
          <c:tx>
            <c:strRef>
              <c:f>Data!$A$10</c:f>
              <c:strCache>
                <c:ptCount val="1"/>
                <c:pt idx="0">
                  <c:v>Pedestrian Crashes:</c:v>
                </c:pt>
              </c:strCache>
            </c:strRef>
          </c:tx>
          <c:spPr>
            <a:solidFill>
              <a:schemeClr val="accent3">
                <a:lumMod val="60000"/>
              </a:schemeClr>
            </a:solidFill>
            <a:ln>
              <a:noFill/>
            </a:ln>
            <a:effectLst/>
          </c:spPr>
          <c:invertIfNegative val="0"/>
          <c:cat>
            <c:strRef>
              <c:extLst>
                <c:ext xmlns:c15="http://schemas.microsoft.com/office/drawing/2012/chart" uri="{02D57815-91ED-43cb-92C2-25804820EDAC}">
                  <c15:fullRef>
                    <c15:sqref>Data!$B$1:$F$1</c15:sqref>
                  </c15:fullRef>
                </c:ext>
              </c:extLst>
              <c:f>Data!$B$1:$F$1</c:f>
              <c:strCache>
                <c:ptCount val="5"/>
                <c:pt idx="0">
                  <c:v>2011</c:v>
                </c:pt>
                <c:pt idx="1">
                  <c:v>2012</c:v>
                </c:pt>
                <c:pt idx="2">
                  <c:v>2013</c:v>
                </c:pt>
                <c:pt idx="3">
                  <c:v>2014</c:v>
                </c:pt>
                <c:pt idx="4">
                  <c:v>2015</c:v>
                </c:pt>
              </c:strCache>
            </c:strRef>
          </c:cat>
          <c:val>
            <c:numRef>
              <c:extLst>
                <c:ext xmlns:c15="http://schemas.microsoft.com/office/drawing/2012/chart" uri="{02D57815-91ED-43cb-92C2-25804820EDAC}">
                  <c15:fullRef>
                    <c15:sqref>Data!$B$10:$G$10</c15:sqref>
                  </c15:fullRef>
                </c:ext>
              </c:extLst>
              <c:f>Data!$B$10:$F$10</c:f>
              <c:numCache>
                <c:formatCode>General</c:formatCode>
                <c:ptCount val="5"/>
                <c:pt idx="0">
                  <c:v>7046</c:v>
                </c:pt>
                <c:pt idx="1">
                  <c:v>8280</c:v>
                </c:pt>
                <c:pt idx="2">
                  <c:v>8421</c:v>
                </c:pt>
                <c:pt idx="3">
                  <c:v>8846</c:v>
                </c:pt>
                <c:pt idx="4">
                  <c:v>9075</c:v>
                </c:pt>
              </c:numCache>
            </c:numRef>
          </c:val>
          <c:extLst>
            <c:ext xmlns:c16="http://schemas.microsoft.com/office/drawing/2014/chart" uri="{C3380CC4-5D6E-409C-BE32-E72D297353CC}">
              <c16:uniqueId val="{00000003-4DF6-4C9E-A455-0441E5BCE845}"/>
            </c:ext>
          </c:extLst>
        </c:ser>
        <c:ser>
          <c:idx val="10"/>
          <c:order val="10"/>
          <c:tx>
            <c:strRef>
              <c:f>Data!$A$12</c:f>
              <c:strCache>
                <c:ptCount val="1"/>
                <c:pt idx="0">
                  <c:v>Bicycle Crashes:</c:v>
                </c:pt>
              </c:strCache>
            </c:strRef>
          </c:tx>
          <c:spPr>
            <a:solidFill>
              <a:schemeClr val="accent5">
                <a:lumMod val="60000"/>
              </a:schemeClr>
            </a:solidFill>
            <a:ln>
              <a:noFill/>
            </a:ln>
            <a:effectLst/>
          </c:spPr>
          <c:invertIfNegative val="0"/>
          <c:cat>
            <c:strRef>
              <c:extLst>
                <c:ext xmlns:c15="http://schemas.microsoft.com/office/drawing/2012/chart" uri="{02D57815-91ED-43cb-92C2-25804820EDAC}">
                  <c15:fullRef>
                    <c15:sqref>Data!$B$1:$F$1</c15:sqref>
                  </c15:fullRef>
                </c:ext>
              </c:extLst>
              <c:f>Data!$B$1:$F$1</c:f>
              <c:strCache>
                <c:ptCount val="5"/>
                <c:pt idx="0">
                  <c:v>2011</c:v>
                </c:pt>
                <c:pt idx="1">
                  <c:v>2012</c:v>
                </c:pt>
                <c:pt idx="2">
                  <c:v>2013</c:v>
                </c:pt>
                <c:pt idx="3">
                  <c:v>2014</c:v>
                </c:pt>
                <c:pt idx="4">
                  <c:v>2015</c:v>
                </c:pt>
              </c:strCache>
            </c:strRef>
          </c:cat>
          <c:val>
            <c:numRef>
              <c:extLst>
                <c:ext xmlns:c15="http://schemas.microsoft.com/office/drawing/2012/chart" uri="{02D57815-91ED-43cb-92C2-25804820EDAC}">
                  <c15:fullRef>
                    <c15:sqref>Data!$B$12:$G$12</c15:sqref>
                  </c15:fullRef>
                </c:ext>
              </c:extLst>
              <c:f>Data!$B$12:$F$12</c:f>
              <c:numCache>
                <c:formatCode>General</c:formatCode>
                <c:ptCount val="5"/>
                <c:pt idx="0">
                  <c:v>5037</c:v>
                </c:pt>
                <c:pt idx="1">
                  <c:v>6442</c:v>
                </c:pt>
                <c:pt idx="2">
                  <c:v>6974</c:v>
                </c:pt>
                <c:pt idx="3">
                  <c:v>7084</c:v>
                </c:pt>
                <c:pt idx="4">
                  <c:v>7114</c:v>
                </c:pt>
              </c:numCache>
            </c:numRef>
          </c:val>
          <c:extLst>
            <c:ext xmlns:c16="http://schemas.microsoft.com/office/drawing/2014/chart" uri="{C3380CC4-5D6E-409C-BE32-E72D297353CC}">
              <c16:uniqueId val="{00000004-4DF6-4C9E-A455-0441E5BCE845}"/>
            </c:ext>
          </c:extLst>
        </c:ser>
        <c:dLbls>
          <c:showLegendKey val="0"/>
          <c:showVal val="0"/>
          <c:showCatName val="0"/>
          <c:showSerName val="0"/>
          <c:showPercent val="0"/>
          <c:showBubbleSize val="0"/>
        </c:dLbls>
        <c:gapWidth val="219"/>
        <c:overlap val="-27"/>
        <c:axId val="1295943807"/>
        <c:axId val="1295960127"/>
        <c:extLst>
          <c:ext xmlns:c15="http://schemas.microsoft.com/office/drawing/2012/chart" uri="{02D57815-91ED-43cb-92C2-25804820EDAC}">
            <c15:filteredBarSeries>
              <c15:ser>
                <c:idx val="0"/>
                <c:order val="0"/>
                <c:tx>
                  <c:strRef>
                    <c:extLst>
                      <c:ext uri="{02D57815-91ED-43cb-92C2-25804820EDAC}">
                        <c15:formulaRef>
                          <c15:sqref>Data!$A$2</c15:sqref>
                        </c15:formulaRef>
                      </c:ext>
                    </c:extLst>
                    <c:strCache>
                      <c:ptCount val="1"/>
                      <c:pt idx="0">
                        <c:v>Total Crashes:</c:v>
                      </c:pt>
                    </c:strCache>
                  </c:strRef>
                </c:tx>
                <c:spPr>
                  <a:solidFill>
                    <a:schemeClr val="accent1"/>
                  </a:solidFill>
                  <a:ln>
                    <a:noFill/>
                  </a:ln>
                  <a:effectLst/>
                </c:spPr>
                <c:invertIfNegative val="0"/>
                <c:cat>
                  <c:strRef>
                    <c:extLst>
                      <c:ext uri="{02D57815-91ED-43cb-92C2-25804820EDAC}">
                        <c15:fullRef>
                          <c15:sqref>Data!$B$1:$F$1</c15:sqref>
                        </c15:fullRef>
                        <c15:formulaRef>
                          <c15:sqref>Data!$B$1:$F$1</c15:sqref>
                        </c15:formulaRef>
                      </c:ext>
                    </c:extLst>
                    <c:strCache>
                      <c:ptCount val="5"/>
                      <c:pt idx="0">
                        <c:v>2011</c:v>
                      </c:pt>
                      <c:pt idx="1">
                        <c:v>2012</c:v>
                      </c:pt>
                      <c:pt idx="2">
                        <c:v>2013</c:v>
                      </c:pt>
                      <c:pt idx="3">
                        <c:v>2014</c:v>
                      </c:pt>
                      <c:pt idx="4">
                        <c:v>2015</c:v>
                      </c:pt>
                    </c:strCache>
                  </c:strRef>
                </c:cat>
                <c:val>
                  <c:numRef>
                    <c:extLst>
                      <c:ext uri="{02D57815-91ED-43cb-92C2-25804820EDAC}">
                        <c15:fullRef>
                          <c15:sqref>Data!$B$2:$G$2</c15:sqref>
                        </c15:fullRef>
                        <c15:formulaRef>
                          <c15:sqref>Data!$B$2:$F$2</c15:sqref>
                        </c15:formulaRef>
                      </c:ext>
                    </c:extLst>
                    <c:numCache>
                      <c:formatCode>General</c:formatCode>
                      <c:ptCount val="5"/>
                      <c:pt idx="0">
                        <c:v>229210</c:v>
                      </c:pt>
                      <c:pt idx="1">
                        <c:v>283367</c:v>
                      </c:pt>
                      <c:pt idx="2">
                        <c:v>317197</c:v>
                      </c:pt>
                      <c:pt idx="3">
                        <c:v>344336</c:v>
                      </c:pt>
                      <c:pt idx="4">
                        <c:v>374003</c:v>
                      </c:pt>
                    </c:numCache>
                  </c:numRef>
                </c:val>
                <c:extLst>
                  <c:ext xmlns:c16="http://schemas.microsoft.com/office/drawing/2014/chart" uri="{C3380CC4-5D6E-409C-BE32-E72D297353CC}">
                    <c16:uniqueId val="{00000005-4DF6-4C9E-A455-0441E5BCE845}"/>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Data!$A$4</c15:sqref>
                        </c15:formulaRef>
                      </c:ext>
                    </c:extLst>
                    <c:strCache>
                      <c:ptCount val="1"/>
                      <c:pt idx="0">
                        <c:v>Total Injuries:</c:v>
                      </c:pt>
                    </c:strCache>
                  </c:strRef>
                </c:tx>
                <c:spPr>
                  <a:solidFill>
                    <a:schemeClr val="accent3"/>
                  </a:solidFill>
                  <a:ln>
                    <a:noFill/>
                  </a:ln>
                  <a:effectLst/>
                </c:spPr>
                <c:invertIfNegative val="0"/>
                <c:cat>
                  <c:strRef>
                    <c:extLst>
                      <c:ext xmlns:c15="http://schemas.microsoft.com/office/drawing/2012/chart" uri="{02D57815-91ED-43cb-92C2-25804820EDAC}">
                        <c15:fullRef>
                          <c15:sqref>Data!$B$1:$F$1</c15:sqref>
                        </c15:fullRef>
                        <c15:formulaRef>
                          <c15:sqref>Data!$B$1:$F$1</c15:sqref>
                        </c15:formulaRef>
                      </c:ext>
                    </c:extLst>
                    <c:strCache>
                      <c:ptCount val="5"/>
                      <c:pt idx="0">
                        <c:v>2011</c:v>
                      </c:pt>
                      <c:pt idx="1">
                        <c:v>2012</c:v>
                      </c:pt>
                      <c:pt idx="2">
                        <c:v>2013</c:v>
                      </c:pt>
                      <c:pt idx="3">
                        <c:v>2014</c:v>
                      </c:pt>
                      <c:pt idx="4">
                        <c:v>2015</c:v>
                      </c:pt>
                    </c:strCache>
                  </c:strRef>
                </c:cat>
                <c:val>
                  <c:numRef>
                    <c:extLst>
                      <c:ext xmlns:c15="http://schemas.microsoft.com/office/drawing/2012/chart" uri="{02D57815-91ED-43cb-92C2-25804820EDAC}">
                        <c15:fullRef>
                          <c15:sqref>Data!$B$4:$G$4</c15:sqref>
                        </c15:fullRef>
                        <c15:formulaRef>
                          <c15:sqref>Data!$B$4:$F$4</c15:sqref>
                        </c15:formulaRef>
                      </c:ext>
                    </c:extLst>
                    <c:numCache>
                      <c:formatCode>General</c:formatCode>
                      <c:ptCount val="5"/>
                      <c:pt idx="0">
                        <c:v>182007</c:v>
                      </c:pt>
                      <c:pt idx="1">
                        <c:v>198484</c:v>
                      </c:pt>
                      <c:pt idx="2">
                        <c:v>211085</c:v>
                      </c:pt>
                      <c:pt idx="3">
                        <c:v>225716</c:v>
                      </c:pt>
                      <c:pt idx="4">
                        <c:v>243229</c:v>
                      </c:pt>
                    </c:numCache>
                  </c:numRef>
                </c:val>
                <c:extLst xmlns:c15="http://schemas.microsoft.com/office/drawing/2012/chart">
                  <c:ext xmlns:c16="http://schemas.microsoft.com/office/drawing/2014/chart" uri="{C3380CC4-5D6E-409C-BE32-E72D297353CC}">
                    <c16:uniqueId val="{00000006-4DF6-4C9E-A455-0441E5BCE845}"/>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Data!$A$5</c15:sqref>
                        </c15:formulaRef>
                      </c:ext>
                    </c:extLst>
                    <c:strCache>
                      <c:ptCount val="1"/>
                      <c:pt idx="0">
                        <c:v>Crashes with Traffic Fatalities:</c:v>
                      </c:pt>
                    </c:strCache>
                  </c:strRef>
                </c:tx>
                <c:spPr>
                  <a:solidFill>
                    <a:schemeClr val="accent4"/>
                  </a:solidFill>
                  <a:ln>
                    <a:noFill/>
                  </a:ln>
                  <a:effectLst/>
                </c:spPr>
                <c:invertIfNegative val="0"/>
                <c:cat>
                  <c:strRef>
                    <c:extLst>
                      <c:ext xmlns:c15="http://schemas.microsoft.com/office/drawing/2012/chart" uri="{02D57815-91ED-43cb-92C2-25804820EDAC}">
                        <c15:fullRef>
                          <c15:sqref>Data!$B$1:$F$1</c15:sqref>
                        </c15:fullRef>
                        <c15:formulaRef>
                          <c15:sqref>Data!$B$1:$F$1</c15:sqref>
                        </c15:formulaRef>
                      </c:ext>
                    </c:extLst>
                    <c:strCache>
                      <c:ptCount val="5"/>
                      <c:pt idx="0">
                        <c:v>2011</c:v>
                      </c:pt>
                      <c:pt idx="1">
                        <c:v>2012</c:v>
                      </c:pt>
                      <c:pt idx="2">
                        <c:v>2013</c:v>
                      </c:pt>
                      <c:pt idx="3">
                        <c:v>2014</c:v>
                      </c:pt>
                      <c:pt idx="4">
                        <c:v>2015</c:v>
                      </c:pt>
                    </c:strCache>
                  </c:strRef>
                </c:cat>
                <c:val>
                  <c:numRef>
                    <c:extLst>
                      <c:ext xmlns:c15="http://schemas.microsoft.com/office/drawing/2012/chart" uri="{02D57815-91ED-43cb-92C2-25804820EDAC}">
                        <c15:fullRef>
                          <c15:sqref>Data!$B$5:$G$5</c15:sqref>
                        </c15:fullRef>
                        <c15:formulaRef>
                          <c15:sqref>Data!$B$5:$F$5</c15:sqref>
                        </c15:formulaRef>
                      </c:ext>
                    </c:extLst>
                    <c:numCache>
                      <c:formatCode>General</c:formatCode>
                      <c:ptCount val="5"/>
                      <c:pt idx="0">
                        <c:v>2215</c:v>
                      </c:pt>
                      <c:pt idx="1">
                        <c:v>2249</c:v>
                      </c:pt>
                      <c:pt idx="2">
                        <c:v>2224</c:v>
                      </c:pt>
                      <c:pt idx="3">
                        <c:v>2339</c:v>
                      </c:pt>
                      <c:pt idx="4">
                        <c:v>2670</c:v>
                      </c:pt>
                    </c:numCache>
                  </c:numRef>
                </c:val>
                <c:extLst xmlns:c15="http://schemas.microsoft.com/office/drawing/2012/chart">
                  <c:ext xmlns:c16="http://schemas.microsoft.com/office/drawing/2014/chart" uri="{C3380CC4-5D6E-409C-BE32-E72D297353CC}">
                    <c16:uniqueId val="{00000007-4DF6-4C9E-A455-0441E5BCE845}"/>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Data!$A$6</c15:sqref>
                        </c15:formulaRef>
                      </c:ext>
                    </c:extLst>
                    <c:strCache>
                      <c:ptCount val="1"/>
                      <c:pt idx="0">
                        <c:v>Total Traffic Fatalities</c:v>
                      </c:pt>
                    </c:strCache>
                  </c:strRef>
                </c:tx>
                <c:spPr>
                  <a:solidFill>
                    <a:schemeClr val="accent5"/>
                  </a:solidFill>
                  <a:ln>
                    <a:noFill/>
                  </a:ln>
                  <a:effectLst/>
                </c:spPr>
                <c:invertIfNegative val="0"/>
                <c:cat>
                  <c:strRef>
                    <c:extLst>
                      <c:ext xmlns:c15="http://schemas.microsoft.com/office/drawing/2012/chart" uri="{02D57815-91ED-43cb-92C2-25804820EDAC}">
                        <c15:fullRef>
                          <c15:sqref>Data!$B$1:$F$1</c15:sqref>
                        </c15:fullRef>
                        <c15:formulaRef>
                          <c15:sqref>Data!$B$1:$F$1</c15:sqref>
                        </c15:formulaRef>
                      </c:ext>
                    </c:extLst>
                    <c:strCache>
                      <c:ptCount val="5"/>
                      <c:pt idx="0">
                        <c:v>2011</c:v>
                      </c:pt>
                      <c:pt idx="1">
                        <c:v>2012</c:v>
                      </c:pt>
                      <c:pt idx="2">
                        <c:v>2013</c:v>
                      </c:pt>
                      <c:pt idx="3">
                        <c:v>2014</c:v>
                      </c:pt>
                      <c:pt idx="4">
                        <c:v>2015</c:v>
                      </c:pt>
                    </c:strCache>
                  </c:strRef>
                </c:cat>
                <c:val>
                  <c:numRef>
                    <c:extLst>
                      <c:ext xmlns:c15="http://schemas.microsoft.com/office/drawing/2012/chart" uri="{02D57815-91ED-43cb-92C2-25804820EDAC}">
                        <c15:fullRef>
                          <c15:sqref>Data!$B$6:$G$6</c15:sqref>
                        </c15:fullRef>
                        <c15:formulaRef>
                          <c15:sqref>Data!$B$6:$F$6</c15:sqref>
                        </c15:formulaRef>
                      </c:ext>
                    </c:extLst>
                    <c:numCache>
                      <c:formatCode>General</c:formatCode>
                      <c:ptCount val="5"/>
                      <c:pt idx="0">
                        <c:v>2404</c:v>
                      </c:pt>
                      <c:pt idx="1">
                        <c:v>2420</c:v>
                      </c:pt>
                      <c:pt idx="2">
                        <c:v>2403</c:v>
                      </c:pt>
                      <c:pt idx="3">
                        <c:v>2497</c:v>
                      </c:pt>
                      <c:pt idx="4">
                        <c:v>2898</c:v>
                      </c:pt>
                    </c:numCache>
                  </c:numRef>
                </c:val>
                <c:extLst xmlns:c15="http://schemas.microsoft.com/office/drawing/2012/chart">
                  <c:ext xmlns:c16="http://schemas.microsoft.com/office/drawing/2014/chart" uri="{C3380CC4-5D6E-409C-BE32-E72D297353CC}">
                    <c16:uniqueId val="{00000008-4DF6-4C9E-A455-0441E5BCE845}"/>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Data!$A$8</c15:sqref>
                        </c15:formulaRef>
                      </c:ext>
                    </c:extLst>
                    <c:strCache>
                      <c:ptCount val="1"/>
                      <c:pt idx="0">
                        <c:v>Commercial Vehicles:</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Data!$B$1:$F$1</c15:sqref>
                        </c15:fullRef>
                        <c15:formulaRef>
                          <c15:sqref>Data!$B$1:$F$1</c15:sqref>
                        </c15:formulaRef>
                      </c:ext>
                    </c:extLst>
                    <c:strCache>
                      <c:ptCount val="5"/>
                      <c:pt idx="0">
                        <c:v>2011</c:v>
                      </c:pt>
                      <c:pt idx="1">
                        <c:v>2012</c:v>
                      </c:pt>
                      <c:pt idx="2">
                        <c:v>2013</c:v>
                      </c:pt>
                      <c:pt idx="3">
                        <c:v>2014</c:v>
                      </c:pt>
                      <c:pt idx="4">
                        <c:v>2015</c:v>
                      </c:pt>
                    </c:strCache>
                  </c:strRef>
                </c:cat>
                <c:val>
                  <c:numRef>
                    <c:extLst>
                      <c:ext xmlns:c15="http://schemas.microsoft.com/office/drawing/2012/chart" uri="{02D57815-91ED-43cb-92C2-25804820EDAC}">
                        <c15:fullRef>
                          <c15:sqref>Data!$B$8:$G$8</c15:sqref>
                        </c15:fullRef>
                        <c15:formulaRef>
                          <c15:sqref>Data!$B$8:$F$8</c15:sqref>
                        </c15:formulaRef>
                      </c:ext>
                    </c:extLst>
                    <c:numCache>
                      <c:formatCode>General</c:formatCode>
                      <c:ptCount val="5"/>
                      <c:pt idx="0">
                        <c:v>12191</c:v>
                      </c:pt>
                      <c:pt idx="1">
                        <c:v>31639</c:v>
                      </c:pt>
                      <c:pt idx="2">
                        <c:v>34840</c:v>
                      </c:pt>
                      <c:pt idx="3">
                        <c:v>37349</c:v>
                      </c:pt>
                      <c:pt idx="4">
                        <c:v>41196</c:v>
                      </c:pt>
                    </c:numCache>
                  </c:numRef>
                </c:val>
                <c:extLst xmlns:c15="http://schemas.microsoft.com/office/drawing/2012/chart">
                  <c:ext xmlns:c16="http://schemas.microsoft.com/office/drawing/2014/chart" uri="{C3380CC4-5D6E-409C-BE32-E72D297353CC}">
                    <c16:uniqueId val="{00000009-4DF6-4C9E-A455-0441E5BCE845}"/>
                  </c:ext>
                </c:extLst>
              </c15:ser>
            </c15:filteredBarSeries>
            <c15:filteredBarSeries>
              <c15:ser>
                <c:idx val="9"/>
                <c:order val="9"/>
                <c:tx>
                  <c:strRef>
                    <c:extLst xmlns:c15="http://schemas.microsoft.com/office/drawing/2012/chart">
                      <c:ext xmlns:c15="http://schemas.microsoft.com/office/drawing/2012/chart" uri="{02D57815-91ED-43cb-92C2-25804820EDAC}">
                        <c15:formulaRef>
                          <c15:sqref>Data!$A$11</c15:sqref>
                        </c15:formulaRef>
                      </c:ext>
                    </c:extLst>
                    <c:strCache>
                      <c:ptCount val="1"/>
                      <c:pt idx="0">
                        <c:v>Pedestrian Fatalities:</c:v>
                      </c:pt>
                    </c:strCache>
                  </c:strRef>
                </c:tx>
                <c:spPr>
                  <a:solidFill>
                    <a:schemeClr val="accent4">
                      <a:lumMod val="60000"/>
                    </a:schemeClr>
                  </a:solidFill>
                  <a:ln>
                    <a:noFill/>
                  </a:ln>
                  <a:effectLst/>
                </c:spPr>
                <c:invertIfNegative val="0"/>
                <c:cat>
                  <c:strRef>
                    <c:extLst>
                      <c:ext xmlns:c15="http://schemas.microsoft.com/office/drawing/2012/chart" uri="{02D57815-91ED-43cb-92C2-25804820EDAC}">
                        <c15:fullRef>
                          <c15:sqref>Data!$B$1:$F$1</c15:sqref>
                        </c15:fullRef>
                        <c15:formulaRef>
                          <c15:sqref>Data!$B$1:$F$1</c15:sqref>
                        </c15:formulaRef>
                      </c:ext>
                    </c:extLst>
                    <c:strCache>
                      <c:ptCount val="5"/>
                      <c:pt idx="0">
                        <c:v>2011</c:v>
                      </c:pt>
                      <c:pt idx="1">
                        <c:v>2012</c:v>
                      </c:pt>
                      <c:pt idx="2">
                        <c:v>2013</c:v>
                      </c:pt>
                      <c:pt idx="3">
                        <c:v>2014</c:v>
                      </c:pt>
                      <c:pt idx="4">
                        <c:v>2015</c:v>
                      </c:pt>
                    </c:strCache>
                  </c:strRef>
                </c:cat>
                <c:val>
                  <c:numRef>
                    <c:extLst>
                      <c:ext xmlns:c15="http://schemas.microsoft.com/office/drawing/2012/chart" uri="{02D57815-91ED-43cb-92C2-25804820EDAC}">
                        <c15:fullRef>
                          <c15:sqref>Data!$B$11:$G$11</c15:sqref>
                        </c15:fullRef>
                        <c15:formulaRef>
                          <c15:sqref>Data!$B$11:$F$11</c15:sqref>
                        </c15:formulaRef>
                      </c:ext>
                    </c:extLst>
                    <c:numCache>
                      <c:formatCode>General</c:formatCode>
                      <c:ptCount val="5"/>
                      <c:pt idx="0">
                        <c:v>498</c:v>
                      </c:pt>
                      <c:pt idx="1">
                        <c:v>476</c:v>
                      </c:pt>
                      <c:pt idx="2">
                        <c:v>498</c:v>
                      </c:pt>
                      <c:pt idx="3">
                        <c:v>607</c:v>
                      </c:pt>
                      <c:pt idx="4">
                        <c:v>609</c:v>
                      </c:pt>
                    </c:numCache>
                  </c:numRef>
                </c:val>
                <c:extLst xmlns:c15="http://schemas.microsoft.com/office/drawing/2012/chart">
                  <c:ext xmlns:c16="http://schemas.microsoft.com/office/drawing/2014/chart" uri="{C3380CC4-5D6E-409C-BE32-E72D297353CC}">
                    <c16:uniqueId val="{0000000A-4DF6-4C9E-A455-0441E5BCE845}"/>
                  </c:ext>
                </c:extLst>
              </c15:ser>
            </c15:filteredBarSeries>
            <c15:filteredBarSeries>
              <c15:ser>
                <c:idx val="11"/>
                <c:order val="11"/>
                <c:tx>
                  <c:strRef>
                    <c:extLst xmlns:c15="http://schemas.microsoft.com/office/drawing/2012/chart">
                      <c:ext xmlns:c15="http://schemas.microsoft.com/office/drawing/2012/chart" uri="{02D57815-91ED-43cb-92C2-25804820EDAC}">
                        <c15:formulaRef>
                          <c15:sqref>Data!$A$13</c15:sqref>
                        </c15:formulaRef>
                      </c:ext>
                    </c:extLst>
                    <c:strCache>
                      <c:ptCount val="1"/>
                      <c:pt idx="0">
                        <c:v>Bicycle Fatalities:</c:v>
                      </c:pt>
                    </c:strCache>
                  </c:strRef>
                </c:tx>
                <c:spPr>
                  <a:solidFill>
                    <a:schemeClr val="accent6">
                      <a:lumMod val="60000"/>
                    </a:schemeClr>
                  </a:solidFill>
                  <a:ln>
                    <a:noFill/>
                  </a:ln>
                  <a:effectLst/>
                </c:spPr>
                <c:invertIfNegative val="0"/>
                <c:cat>
                  <c:strRef>
                    <c:extLst>
                      <c:ext xmlns:c15="http://schemas.microsoft.com/office/drawing/2012/chart" uri="{02D57815-91ED-43cb-92C2-25804820EDAC}">
                        <c15:fullRef>
                          <c15:sqref>Data!$B$1:$F$1</c15:sqref>
                        </c15:fullRef>
                        <c15:formulaRef>
                          <c15:sqref>Data!$B$1:$F$1</c15:sqref>
                        </c15:formulaRef>
                      </c:ext>
                    </c:extLst>
                    <c:strCache>
                      <c:ptCount val="5"/>
                      <c:pt idx="0">
                        <c:v>2011</c:v>
                      </c:pt>
                      <c:pt idx="1">
                        <c:v>2012</c:v>
                      </c:pt>
                      <c:pt idx="2">
                        <c:v>2013</c:v>
                      </c:pt>
                      <c:pt idx="3">
                        <c:v>2014</c:v>
                      </c:pt>
                      <c:pt idx="4">
                        <c:v>2015</c:v>
                      </c:pt>
                    </c:strCache>
                  </c:strRef>
                </c:cat>
                <c:val>
                  <c:numRef>
                    <c:extLst>
                      <c:ext xmlns:c15="http://schemas.microsoft.com/office/drawing/2012/chart" uri="{02D57815-91ED-43cb-92C2-25804820EDAC}">
                        <c15:fullRef>
                          <c15:sqref>Data!$B$13:$G$13</c15:sqref>
                        </c15:fullRef>
                        <c15:formulaRef>
                          <c15:sqref>Data!$B$13:$F$13</c15:sqref>
                        </c15:formulaRef>
                      </c:ext>
                    </c:extLst>
                    <c:numCache>
                      <c:formatCode>General</c:formatCode>
                      <c:ptCount val="5"/>
                      <c:pt idx="0">
                        <c:v>120</c:v>
                      </c:pt>
                      <c:pt idx="1">
                        <c:v>117</c:v>
                      </c:pt>
                      <c:pt idx="2">
                        <c:v>135</c:v>
                      </c:pt>
                      <c:pt idx="3">
                        <c:v>135</c:v>
                      </c:pt>
                      <c:pt idx="4">
                        <c:v>139</c:v>
                      </c:pt>
                    </c:numCache>
                  </c:numRef>
                </c:val>
                <c:extLst xmlns:c15="http://schemas.microsoft.com/office/drawing/2012/chart">
                  <c:ext xmlns:c16="http://schemas.microsoft.com/office/drawing/2014/chart" uri="{C3380CC4-5D6E-409C-BE32-E72D297353CC}">
                    <c16:uniqueId val="{0000000B-4DF6-4C9E-A455-0441E5BCE845}"/>
                  </c:ext>
                </c:extLst>
              </c15:ser>
            </c15:filteredBarSeries>
          </c:ext>
        </c:extLst>
      </c:barChart>
      <c:catAx>
        <c:axId val="1295943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960127"/>
        <c:crosses val="autoZero"/>
        <c:auto val="1"/>
        <c:lblAlgn val="ctr"/>
        <c:lblOffset val="100"/>
        <c:noMultiLvlLbl val="0"/>
      </c:catAx>
      <c:valAx>
        <c:axId val="1295960127"/>
        <c:scaling>
          <c:orientation val="minMax"/>
          <c:max val="23000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943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t>Bicycle</a:t>
            </a:r>
            <a:r>
              <a:rPr lang="en-US" b="1" baseline="0"/>
              <a:t> Crash Vs Fatilities</a:t>
            </a:r>
            <a:endParaRPr lang="en-US" b="1"/>
          </a:p>
        </c:rich>
      </c:tx>
      <c:layout>
        <c:manualLayout>
          <c:xMode val="edge"/>
          <c:yMode val="edge"/>
          <c:x val="0.17034430366229616"/>
          <c:y val="3.7285607755406416E-2"/>
        </c:manualLayout>
      </c:layout>
      <c:overlay val="0"/>
      <c:spPr>
        <a:noFill/>
        <a:ln>
          <a:noFill/>
        </a:ln>
        <a:effectLst/>
      </c:spPr>
    </c:title>
    <c:autoTitleDeleted val="0"/>
    <c:plotArea>
      <c:layout>
        <c:manualLayout>
          <c:layoutTarget val="inner"/>
          <c:xMode val="edge"/>
          <c:yMode val="edge"/>
          <c:x val="0.26164043961902089"/>
          <c:y val="0.19226669582968794"/>
          <c:w val="0.5472425245018504"/>
          <c:h val="0.57479476523767858"/>
        </c:manualLayout>
      </c:layout>
      <c:doughnutChart>
        <c:varyColors val="1"/>
        <c:ser>
          <c:idx val="5"/>
          <c:order val="5"/>
          <c:tx>
            <c:strRef>
              <c:f>Data!$G$1</c:f>
              <c:strCache>
                <c:ptCount val="1"/>
                <c:pt idx="0">
                  <c:v>Sum</c:v>
                </c:pt>
              </c:strCache>
            </c:strRef>
          </c:tx>
          <c:dPt>
            <c:idx val="1"/>
            <c:bubble3D val="0"/>
            <c:extLst>
              <c:ext xmlns:c16="http://schemas.microsoft.com/office/drawing/2014/chart" uri="{C3380CC4-5D6E-409C-BE32-E72D297353CC}">
                <c16:uniqueId val="{00000003-3274-4CC6-8AF3-37D0330547E0}"/>
              </c:ext>
            </c:extLst>
          </c:dPt>
          <c:dLbls>
            <c:dLbl>
              <c:idx val="1"/>
              <c:layout>
                <c:manualLayout>
                  <c:x val="-0.16018773446495563"/>
                  <c:y val="-2.43436852272660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non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03-3274-4CC6-8AF3-37D0330547E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non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extLst>
                <c:ext xmlns:c15="http://schemas.microsoft.com/office/drawing/2012/chart" uri="{02D57815-91ED-43cb-92C2-25804820EDAC}">
                  <c15:fullRef>
                    <c15:sqref>Data!$A$2:$A$13</c15:sqref>
                  </c15:fullRef>
                </c:ext>
              </c:extLst>
              <c:f>Data!$A$12:$A$13</c:f>
              <c:strCache>
                <c:ptCount val="2"/>
                <c:pt idx="0">
                  <c:v>Bicycle Crashes:</c:v>
                </c:pt>
                <c:pt idx="1">
                  <c:v>Bicycle Fatalities:</c:v>
                </c:pt>
              </c:strCache>
            </c:strRef>
          </c:cat>
          <c:val>
            <c:numRef>
              <c:extLst>
                <c:ext xmlns:c15="http://schemas.microsoft.com/office/drawing/2012/chart" uri="{02D57815-91ED-43cb-92C2-25804820EDAC}">
                  <c15:fullRef>
                    <c15:sqref>Data!$G$2:$G$13</c15:sqref>
                  </c15:fullRef>
                </c:ext>
              </c:extLst>
              <c:f>Data!$G$12:$G$13</c:f>
              <c:numCache>
                <c:formatCode>General</c:formatCode>
                <c:ptCount val="2"/>
                <c:pt idx="0">
                  <c:v>32651</c:v>
                </c:pt>
                <c:pt idx="1">
                  <c:v>646</c:v>
                </c:pt>
              </c:numCache>
            </c:numRef>
          </c:val>
          <c:extLst>
            <c:ext xmlns:c16="http://schemas.microsoft.com/office/drawing/2014/chart" uri="{C3380CC4-5D6E-409C-BE32-E72D297353CC}">
              <c16:uniqueId val="{00000004-3274-4CC6-8AF3-37D0330547E0}"/>
            </c:ext>
          </c:extLst>
        </c:ser>
        <c:dLbls>
          <c:showLegendKey val="0"/>
          <c:showVal val="0"/>
          <c:showCatName val="0"/>
          <c:showSerName val="0"/>
          <c:showPercent val="0"/>
          <c:showBubbleSize val="0"/>
          <c:showLeaderLines val="0"/>
        </c:dLbls>
        <c:firstSliceAng val="4"/>
        <c:holeSize val="55"/>
        <c:extLst>
          <c:ext xmlns:c15="http://schemas.microsoft.com/office/drawing/2012/chart" uri="{02D57815-91ED-43cb-92C2-25804820EDAC}">
            <c15:filteredPieSeries>
              <c15:ser>
                <c:idx val="0"/>
                <c:order val="0"/>
                <c:tx>
                  <c:strRef>
                    <c:extLst>
                      <c:ext uri="{02D57815-91ED-43cb-92C2-25804820EDAC}">
                        <c15:formulaRef>
                          <c15:sqref>Data!$B$1</c15:sqref>
                        </c15:formulaRef>
                      </c:ext>
                    </c:extLst>
                    <c:strCache>
                      <c:ptCount val="1"/>
                      <c:pt idx="0">
                        <c:v>2011</c:v>
                      </c:pt>
                    </c:strCache>
                  </c:strRef>
                </c:tx>
                <c:dPt>
                  <c:idx val="1"/>
                  <c:bubble3D val="0"/>
                  <c:extLst>
                    <c:ext xmlns:c16="http://schemas.microsoft.com/office/drawing/2014/chart" uri="{C3380CC4-5D6E-409C-BE32-E72D297353CC}">
                      <c16:uniqueId val="{00000008-3274-4CC6-8AF3-37D0330547E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uri="{CE6537A1-D6FC-4f65-9D91-7224C49458BB}">
                      <c15:spPr xmlns:c15="http://schemas.microsoft.com/office/drawing/2012/chart">
                        <a:prstGeom prst="wedgeRectCallout">
                          <a:avLst/>
                        </a:prstGeom>
                      </c15:spPr>
                    </c:ext>
                  </c:extLst>
                </c:dLbls>
                <c:cat>
                  <c:strRef>
                    <c:extLst>
                      <c:ext uri="{02D57815-91ED-43cb-92C2-25804820EDAC}">
                        <c15:fullRef>
                          <c15:sqref>Data!$A$2:$A$13</c15:sqref>
                        </c15:fullRef>
                        <c15:formulaRef>
                          <c15:sqref>Data!$A$12:$A$13</c15:sqref>
                        </c15:formulaRef>
                      </c:ext>
                    </c:extLst>
                    <c:strCache>
                      <c:ptCount val="2"/>
                      <c:pt idx="0">
                        <c:v>Bicycle Crashes:</c:v>
                      </c:pt>
                      <c:pt idx="1">
                        <c:v>Bicycle Fatalities:</c:v>
                      </c:pt>
                    </c:strCache>
                  </c:strRef>
                </c:cat>
                <c:val>
                  <c:numRef>
                    <c:extLst>
                      <c:ext uri="{02D57815-91ED-43cb-92C2-25804820EDAC}">
                        <c15:fullRef>
                          <c15:sqref>Data!$B$2:$B$13</c15:sqref>
                        </c15:fullRef>
                        <c15:formulaRef>
                          <c15:sqref>Data!$B$12:$B$13</c15:sqref>
                        </c15:formulaRef>
                      </c:ext>
                    </c:extLst>
                    <c:numCache>
                      <c:formatCode>General</c:formatCode>
                      <c:ptCount val="2"/>
                      <c:pt idx="0">
                        <c:v>5037</c:v>
                      </c:pt>
                      <c:pt idx="1">
                        <c:v>120</c:v>
                      </c:pt>
                    </c:numCache>
                  </c:numRef>
                </c:val>
                <c:extLst>
                  <c:ext xmlns:c16="http://schemas.microsoft.com/office/drawing/2014/chart" uri="{C3380CC4-5D6E-409C-BE32-E72D297353CC}">
                    <c16:uniqueId val="{00000009-3274-4CC6-8AF3-37D0330547E0}"/>
                  </c:ext>
                </c:extLst>
              </c15:ser>
            </c15:filteredPieSeries>
            <c15:filteredPieSeries>
              <c15:ser>
                <c:idx val="1"/>
                <c:order val="1"/>
                <c:tx>
                  <c:strRef>
                    <c:extLst>
                      <c:ext xmlns:c15="http://schemas.microsoft.com/office/drawing/2012/chart" uri="{02D57815-91ED-43cb-92C2-25804820EDAC}">
                        <c15:formulaRef>
                          <c15:sqref>Data!$C$1</c15:sqref>
                        </c15:formulaRef>
                      </c:ext>
                    </c:extLst>
                    <c:strCache>
                      <c:ptCount val="1"/>
                      <c:pt idx="0">
                        <c:v>2012</c:v>
                      </c:pt>
                    </c:strCache>
                  </c:strRef>
                </c:tx>
                <c:dPt>
                  <c:idx val="1"/>
                  <c:bubble3D val="0"/>
                  <c:extLst>
                    <c:ext xmlns:c16="http://schemas.microsoft.com/office/drawing/2014/chart" uri="{C3380CC4-5D6E-409C-BE32-E72D297353CC}">
                      <c16:uniqueId val="{0000000D-3274-4CC6-8AF3-37D0330547E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xmlns:c15="http://schemas.microsoft.com/office/drawing/2012/chart">
                    <c:ext xmlns:c15="http://schemas.microsoft.com/office/drawing/2012/chart" uri="{CE6537A1-D6FC-4f65-9D91-7224C49458BB}">
                      <c15:spPr xmlns:c15="http://schemas.microsoft.com/office/drawing/2012/chart">
                        <a:prstGeom prst="wedgeRectCallout">
                          <a:avLst/>
                        </a:prstGeom>
                      </c15:spPr>
                    </c:ext>
                  </c:extLst>
                </c:dLbls>
                <c:cat>
                  <c:strRef>
                    <c:extLst>
                      <c:ext xmlns:c15="http://schemas.microsoft.com/office/drawing/2012/chart" uri="{02D57815-91ED-43cb-92C2-25804820EDAC}">
                        <c15:fullRef>
                          <c15:sqref>Data!$A$2:$A$13</c15:sqref>
                        </c15:fullRef>
                        <c15:formulaRef>
                          <c15:sqref>Data!$A$12:$A$13</c15:sqref>
                        </c15:formulaRef>
                      </c:ext>
                    </c:extLst>
                    <c:strCache>
                      <c:ptCount val="2"/>
                      <c:pt idx="0">
                        <c:v>Bicycle Crashes:</c:v>
                      </c:pt>
                      <c:pt idx="1">
                        <c:v>Bicycle Fatalities:</c:v>
                      </c:pt>
                    </c:strCache>
                  </c:strRef>
                </c:cat>
                <c:val>
                  <c:numRef>
                    <c:extLst>
                      <c:ext xmlns:c15="http://schemas.microsoft.com/office/drawing/2012/chart" uri="{02D57815-91ED-43cb-92C2-25804820EDAC}">
                        <c15:fullRef>
                          <c15:sqref>Data!$C$2:$C$13</c15:sqref>
                        </c15:fullRef>
                        <c15:formulaRef>
                          <c15:sqref>Data!$C$12:$C$13</c15:sqref>
                        </c15:formulaRef>
                      </c:ext>
                    </c:extLst>
                    <c:numCache>
                      <c:formatCode>General</c:formatCode>
                      <c:ptCount val="2"/>
                      <c:pt idx="0">
                        <c:v>6442</c:v>
                      </c:pt>
                      <c:pt idx="1">
                        <c:v>117</c:v>
                      </c:pt>
                    </c:numCache>
                  </c:numRef>
                </c:val>
                <c:extLst xmlns:c15="http://schemas.microsoft.com/office/drawing/2012/chart">
                  <c:ext xmlns:c16="http://schemas.microsoft.com/office/drawing/2014/chart" uri="{C3380CC4-5D6E-409C-BE32-E72D297353CC}">
                    <c16:uniqueId val="{0000000E-3274-4CC6-8AF3-37D0330547E0}"/>
                  </c:ext>
                </c:extLst>
              </c15:ser>
            </c15:filteredPieSeries>
            <c15:filteredPieSeries>
              <c15:ser>
                <c:idx val="2"/>
                <c:order val="2"/>
                <c:tx>
                  <c:strRef>
                    <c:extLst>
                      <c:ext xmlns:c15="http://schemas.microsoft.com/office/drawing/2012/chart" uri="{02D57815-91ED-43cb-92C2-25804820EDAC}">
                        <c15:formulaRef>
                          <c15:sqref>Data!$D$1</c15:sqref>
                        </c15:formulaRef>
                      </c:ext>
                    </c:extLst>
                    <c:strCache>
                      <c:ptCount val="1"/>
                      <c:pt idx="0">
                        <c:v>2013</c:v>
                      </c:pt>
                    </c:strCache>
                  </c:strRef>
                </c:tx>
                <c:dPt>
                  <c:idx val="1"/>
                  <c:bubble3D val="0"/>
                  <c:extLst>
                    <c:ext xmlns:c16="http://schemas.microsoft.com/office/drawing/2014/chart" uri="{C3380CC4-5D6E-409C-BE32-E72D297353CC}">
                      <c16:uniqueId val="{00000012-3274-4CC6-8AF3-37D0330547E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xmlns:c15="http://schemas.microsoft.com/office/drawing/2012/chart">
                    <c:ext xmlns:c15="http://schemas.microsoft.com/office/drawing/2012/chart" uri="{CE6537A1-D6FC-4f65-9D91-7224C49458BB}">
                      <c15:spPr xmlns:c15="http://schemas.microsoft.com/office/drawing/2012/chart">
                        <a:prstGeom prst="wedgeRectCallout">
                          <a:avLst/>
                        </a:prstGeom>
                      </c15:spPr>
                    </c:ext>
                  </c:extLst>
                </c:dLbls>
                <c:cat>
                  <c:strRef>
                    <c:extLst>
                      <c:ext xmlns:c15="http://schemas.microsoft.com/office/drawing/2012/chart" uri="{02D57815-91ED-43cb-92C2-25804820EDAC}">
                        <c15:fullRef>
                          <c15:sqref>Data!$A$2:$A$13</c15:sqref>
                        </c15:fullRef>
                        <c15:formulaRef>
                          <c15:sqref>Data!$A$12:$A$13</c15:sqref>
                        </c15:formulaRef>
                      </c:ext>
                    </c:extLst>
                    <c:strCache>
                      <c:ptCount val="2"/>
                      <c:pt idx="0">
                        <c:v>Bicycle Crashes:</c:v>
                      </c:pt>
                      <c:pt idx="1">
                        <c:v>Bicycle Fatalities:</c:v>
                      </c:pt>
                    </c:strCache>
                  </c:strRef>
                </c:cat>
                <c:val>
                  <c:numRef>
                    <c:extLst>
                      <c:ext xmlns:c15="http://schemas.microsoft.com/office/drawing/2012/chart" uri="{02D57815-91ED-43cb-92C2-25804820EDAC}">
                        <c15:fullRef>
                          <c15:sqref>Data!$D$2:$D$13</c15:sqref>
                        </c15:fullRef>
                        <c15:formulaRef>
                          <c15:sqref>Data!$D$12:$D$13</c15:sqref>
                        </c15:formulaRef>
                      </c:ext>
                    </c:extLst>
                    <c:numCache>
                      <c:formatCode>General</c:formatCode>
                      <c:ptCount val="2"/>
                      <c:pt idx="0">
                        <c:v>6974</c:v>
                      </c:pt>
                      <c:pt idx="1">
                        <c:v>135</c:v>
                      </c:pt>
                    </c:numCache>
                  </c:numRef>
                </c:val>
                <c:extLst xmlns:c15="http://schemas.microsoft.com/office/drawing/2012/chart">
                  <c:ext xmlns:c16="http://schemas.microsoft.com/office/drawing/2014/chart" uri="{C3380CC4-5D6E-409C-BE32-E72D297353CC}">
                    <c16:uniqueId val="{00000013-3274-4CC6-8AF3-37D0330547E0}"/>
                  </c:ext>
                </c:extLst>
              </c15:ser>
            </c15:filteredPieSeries>
            <c15:filteredPieSeries>
              <c15:ser>
                <c:idx val="3"/>
                <c:order val="3"/>
                <c:tx>
                  <c:strRef>
                    <c:extLst>
                      <c:ext xmlns:c15="http://schemas.microsoft.com/office/drawing/2012/chart" uri="{02D57815-91ED-43cb-92C2-25804820EDAC}">
                        <c15:formulaRef>
                          <c15:sqref>Data!$E$1</c15:sqref>
                        </c15:formulaRef>
                      </c:ext>
                    </c:extLst>
                    <c:strCache>
                      <c:ptCount val="1"/>
                      <c:pt idx="0">
                        <c:v>2014</c:v>
                      </c:pt>
                    </c:strCache>
                  </c:strRef>
                </c:tx>
                <c:dPt>
                  <c:idx val="1"/>
                  <c:bubble3D val="0"/>
                  <c:extLst>
                    <c:ext xmlns:c16="http://schemas.microsoft.com/office/drawing/2014/chart" uri="{C3380CC4-5D6E-409C-BE32-E72D297353CC}">
                      <c16:uniqueId val="{00000017-3274-4CC6-8AF3-37D0330547E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xmlns:c15="http://schemas.microsoft.com/office/drawing/2012/chart">
                    <c:ext xmlns:c15="http://schemas.microsoft.com/office/drawing/2012/chart" uri="{CE6537A1-D6FC-4f65-9D91-7224C49458BB}">
                      <c15:spPr xmlns:c15="http://schemas.microsoft.com/office/drawing/2012/chart">
                        <a:prstGeom prst="wedgeRectCallout">
                          <a:avLst/>
                        </a:prstGeom>
                      </c15:spPr>
                    </c:ext>
                  </c:extLst>
                </c:dLbls>
                <c:cat>
                  <c:strRef>
                    <c:extLst>
                      <c:ext xmlns:c15="http://schemas.microsoft.com/office/drawing/2012/chart" uri="{02D57815-91ED-43cb-92C2-25804820EDAC}">
                        <c15:fullRef>
                          <c15:sqref>Data!$A$2:$A$13</c15:sqref>
                        </c15:fullRef>
                        <c15:formulaRef>
                          <c15:sqref>Data!$A$12:$A$13</c15:sqref>
                        </c15:formulaRef>
                      </c:ext>
                    </c:extLst>
                    <c:strCache>
                      <c:ptCount val="2"/>
                      <c:pt idx="0">
                        <c:v>Bicycle Crashes:</c:v>
                      </c:pt>
                      <c:pt idx="1">
                        <c:v>Bicycle Fatalities:</c:v>
                      </c:pt>
                    </c:strCache>
                  </c:strRef>
                </c:cat>
                <c:val>
                  <c:numRef>
                    <c:extLst>
                      <c:ext xmlns:c15="http://schemas.microsoft.com/office/drawing/2012/chart" uri="{02D57815-91ED-43cb-92C2-25804820EDAC}">
                        <c15:fullRef>
                          <c15:sqref>Data!$E$2:$E$13</c15:sqref>
                        </c15:fullRef>
                        <c15:formulaRef>
                          <c15:sqref>Data!$E$12:$E$13</c15:sqref>
                        </c15:formulaRef>
                      </c:ext>
                    </c:extLst>
                    <c:numCache>
                      <c:formatCode>General</c:formatCode>
                      <c:ptCount val="2"/>
                      <c:pt idx="0">
                        <c:v>7084</c:v>
                      </c:pt>
                      <c:pt idx="1">
                        <c:v>135</c:v>
                      </c:pt>
                    </c:numCache>
                  </c:numRef>
                </c:val>
                <c:extLst xmlns:c15="http://schemas.microsoft.com/office/drawing/2012/chart">
                  <c:ext xmlns:c16="http://schemas.microsoft.com/office/drawing/2014/chart" uri="{C3380CC4-5D6E-409C-BE32-E72D297353CC}">
                    <c16:uniqueId val="{00000018-3274-4CC6-8AF3-37D0330547E0}"/>
                  </c:ext>
                </c:extLst>
              </c15:ser>
            </c15:filteredPieSeries>
            <c15:filteredPieSeries>
              <c15:ser>
                <c:idx val="4"/>
                <c:order val="4"/>
                <c:tx>
                  <c:strRef>
                    <c:extLst>
                      <c:ext xmlns:c15="http://schemas.microsoft.com/office/drawing/2012/chart" uri="{02D57815-91ED-43cb-92C2-25804820EDAC}">
                        <c15:formulaRef>
                          <c15:sqref>Data!$F$1</c15:sqref>
                        </c15:formulaRef>
                      </c:ext>
                    </c:extLst>
                    <c:strCache>
                      <c:ptCount val="1"/>
                      <c:pt idx="0">
                        <c:v>2015</c:v>
                      </c:pt>
                    </c:strCache>
                  </c:strRef>
                </c:tx>
                <c:dPt>
                  <c:idx val="1"/>
                  <c:bubble3D val="0"/>
                  <c:extLst>
                    <c:ext xmlns:c16="http://schemas.microsoft.com/office/drawing/2014/chart" uri="{C3380CC4-5D6E-409C-BE32-E72D297353CC}">
                      <c16:uniqueId val="{0000001C-3274-4CC6-8AF3-37D0330547E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xmlns:c15="http://schemas.microsoft.com/office/drawing/2012/chart">
                    <c:ext xmlns:c15="http://schemas.microsoft.com/office/drawing/2012/chart" uri="{CE6537A1-D6FC-4f65-9D91-7224C49458BB}">
                      <c15:spPr xmlns:c15="http://schemas.microsoft.com/office/drawing/2012/chart">
                        <a:prstGeom prst="wedgeRectCallout">
                          <a:avLst/>
                        </a:prstGeom>
                      </c15:spPr>
                    </c:ext>
                  </c:extLst>
                </c:dLbls>
                <c:cat>
                  <c:strRef>
                    <c:extLst>
                      <c:ext xmlns:c15="http://schemas.microsoft.com/office/drawing/2012/chart" uri="{02D57815-91ED-43cb-92C2-25804820EDAC}">
                        <c15:fullRef>
                          <c15:sqref>Data!$A$2:$A$13</c15:sqref>
                        </c15:fullRef>
                        <c15:formulaRef>
                          <c15:sqref>Data!$A$12:$A$13</c15:sqref>
                        </c15:formulaRef>
                      </c:ext>
                    </c:extLst>
                    <c:strCache>
                      <c:ptCount val="2"/>
                      <c:pt idx="0">
                        <c:v>Bicycle Crashes:</c:v>
                      </c:pt>
                      <c:pt idx="1">
                        <c:v>Bicycle Fatalities:</c:v>
                      </c:pt>
                    </c:strCache>
                  </c:strRef>
                </c:cat>
                <c:val>
                  <c:numRef>
                    <c:extLst>
                      <c:ext xmlns:c15="http://schemas.microsoft.com/office/drawing/2012/chart" uri="{02D57815-91ED-43cb-92C2-25804820EDAC}">
                        <c15:fullRef>
                          <c15:sqref>Data!$F$2:$F$13</c15:sqref>
                        </c15:fullRef>
                        <c15:formulaRef>
                          <c15:sqref>Data!$F$12:$F$13</c15:sqref>
                        </c15:formulaRef>
                      </c:ext>
                    </c:extLst>
                    <c:numCache>
                      <c:formatCode>General</c:formatCode>
                      <c:ptCount val="2"/>
                      <c:pt idx="0">
                        <c:v>7114</c:v>
                      </c:pt>
                      <c:pt idx="1">
                        <c:v>139</c:v>
                      </c:pt>
                    </c:numCache>
                  </c:numRef>
                </c:val>
                <c:extLst xmlns:c15="http://schemas.microsoft.com/office/drawing/2012/chart">
                  <c:ext xmlns:c16="http://schemas.microsoft.com/office/drawing/2014/chart" uri="{C3380CC4-5D6E-409C-BE32-E72D297353CC}">
                    <c16:uniqueId val="{0000001D-3274-4CC6-8AF3-37D0330547E0}"/>
                  </c:ext>
                </c:extLst>
              </c15:ser>
            </c15:filteredPieSeries>
            <c15:filteredPieSeries>
              <c15:ser>
                <c:idx val="6"/>
                <c:order val="6"/>
                <c:tx>
                  <c:strRef>
                    <c:extLst>
                      <c:ext xmlns:c15="http://schemas.microsoft.com/office/drawing/2012/chart" uri="{02D57815-91ED-43cb-92C2-25804820EDAC}">
                        <c15:formulaRef>
                          <c15:sqref>Data!$H$1</c15:sqref>
                        </c15:formulaRef>
                      </c:ext>
                    </c:extLst>
                    <c:strCache>
                      <c:ptCount val="1"/>
                      <c:pt idx="0">
                        <c:v>Difference 2015 &amp;2011</c:v>
                      </c:pt>
                    </c:strCache>
                  </c:strRef>
                </c:tx>
                <c:dPt>
                  <c:idx val="1"/>
                  <c:bubble3D val="0"/>
                  <c:extLst>
                    <c:ext xmlns:c16="http://schemas.microsoft.com/office/drawing/2014/chart" uri="{C3380CC4-5D6E-409C-BE32-E72D297353CC}">
                      <c16:uniqueId val="{0000001B-F739-46A6-97BB-30E7B0FDC063}"/>
                    </c:ext>
                  </c:extLst>
                </c:dPt>
                <c:cat>
                  <c:strRef>
                    <c:extLst>
                      <c:ext xmlns:c15="http://schemas.microsoft.com/office/drawing/2012/chart" uri="{02D57815-91ED-43cb-92C2-25804820EDAC}">
                        <c15:fullRef>
                          <c15:sqref>Data!$A$2:$A$13</c15:sqref>
                        </c15:fullRef>
                        <c15:formulaRef>
                          <c15:sqref>Data!$A$12:$A$13</c15:sqref>
                        </c15:formulaRef>
                      </c:ext>
                    </c:extLst>
                    <c:strCache>
                      <c:ptCount val="2"/>
                      <c:pt idx="0">
                        <c:v>Bicycle Crashes:</c:v>
                      </c:pt>
                      <c:pt idx="1">
                        <c:v>Bicycle Fatalities:</c:v>
                      </c:pt>
                    </c:strCache>
                  </c:strRef>
                </c:cat>
                <c:val>
                  <c:numRef>
                    <c:extLst>
                      <c:ext xmlns:c15="http://schemas.microsoft.com/office/drawing/2012/chart" uri="{02D57815-91ED-43cb-92C2-25804820EDAC}">
                        <c15:fullRef>
                          <c15:sqref>Data!$H$2:$H$13</c15:sqref>
                        </c15:fullRef>
                        <c15:formulaRef>
                          <c15:sqref>Data!$H$12:$H$13</c15:sqref>
                        </c15:formulaRef>
                      </c:ext>
                    </c:extLst>
                    <c:numCache>
                      <c:formatCode>General</c:formatCode>
                      <c:ptCount val="2"/>
                      <c:pt idx="0">
                        <c:v>2077</c:v>
                      </c:pt>
                      <c:pt idx="1">
                        <c:v>19</c:v>
                      </c:pt>
                    </c:numCache>
                  </c:numRef>
                </c:val>
                <c:extLst xmlns:c15="http://schemas.microsoft.com/office/drawing/2012/chart">
                  <c:ext xmlns:c16="http://schemas.microsoft.com/office/drawing/2014/chart" uri="{C3380CC4-5D6E-409C-BE32-E72D297353CC}">
                    <c16:uniqueId val="{00000018-2729-4571-8E45-7C709D7AC7F1}"/>
                  </c:ext>
                </c:extLst>
              </c15:ser>
            </c15:filteredPieSeries>
            <c15:filteredPieSeries>
              <c15:ser>
                <c:idx val="7"/>
                <c:order val="7"/>
                <c:tx>
                  <c:strRef>
                    <c:extLst>
                      <c:ext xmlns:c15="http://schemas.microsoft.com/office/drawing/2012/chart" uri="{02D57815-91ED-43cb-92C2-25804820EDAC}">
                        <c15:formulaRef>
                          <c15:sqref>Data!$I$1</c15:sqref>
                        </c15:formulaRef>
                      </c:ext>
                    </c:extLst>
                    <c:strCache>
                      <c:ptCount val="1"/>
                      <c:pt idx="0">
                        <c:v>Ratio %</c:v>
                      </c:pt>
                    </c:strCache>
                  </c:strRef>
                </c:tx>
                <c:dPt>
                  <c:idx val="1"/>
                  <c:bubble3D val="0"/>
                  <c:extLst>
                    <c:ext xmlns:c16="http://schemas.microsoft.com/office/drawing/2014/chart" uri="{C3380CC4-5D6E-409C-BE32-E72D297353CC}">
                      <c16:uniqueId val="{0000001F-F739-46A6-97BB-30E7B0FDC063}"/>
                    </c:ext>
                  </c:extLst>
                </c:dPt>
                <c:cat>
                  <c:strRef>
                    <c:extLst>
                      <c:ext xmlns:c15="http://schemas.microsoft.com/office/drawing/2012/chart" uri="{02D57815-91ED-43cb-92C2-25804820EDAC}">
                        <c15:fullRef>
                          <c15:sqref>Data!$A$2:$A$13</c15:sqref>
                        </c15:fullRef>
                        <c15:formulaRef>
                          <c15:sqref>Data!$A$12:$A$13</c15:sqref>
                        </c15:formulaRef>
                      </c:ext>
                    </c:extLst>
                    <c:strCache>
                      <c:ptCount val="2"/>
                      <c:pt idx="0">
                        <c:v>Bicycle Crashes:</c:v>
                      </c:pt>
                      <c:pt idx="1">
                        <c:v>Bicycle Fatalities:</c:v>
                      </c:pt>
                    </c:strCache>
                  </c:strRef>
                </c:cat>
                <c:val>
                  <c:numRef>
                    <c:extLst>
                      <c:ext xmlns:c15="http://schemas.microsoft.com/office/drawing/2012/chart" uri="{02D57815-91ED-43cb-92C2-25804820EDAC}">
                        <c15:fullRef>
                          <c15:sqref>Data!$I$2:$I$13</c15:sqref>
                        </c15:fullRef>
                        <c15:formulaRef>
                          <c15:sqref>Data!$I$12:$I$13</c15:sqref>
                        </c15:formulaRef>
                      </c:ext>
                    </c:extLst>
                    <c:numCache>
                      <c:formatCode>0.00</c:formatCode>
                      <c:ptCount val="2"/>
                      <c:pt idx="0">
                        <c:v>41.234862021044272</c:v>
                      </c:pt>
                      <c:pt idx="1">
                        <c:v>15.833333333333332</c:v>
                      </c:pt>
                    </c:numCache>
                  </c:numRef>
                </c:val>
                <c:extLst xmlns:c15="http://schemas.microsoft.com/office/drawing/2012/chart">
                  <c:ext xmlns:c16="http://schemas.microsoft.com/office/drawing/2014/chart" uri="{C3380CC4-5D6E-409C-BE32-E72D297353CC}">
                    <c16:uniqueId val="{00000019-2729-4571-8E45-7C709D7AC7F1}"/>
                  </c:ext>
                </c:extLst>
              </c15:ser>
            </c15:filteredPieSeries>
            <c15:filteredPieSeries>
              <c15:ser>
                <c:idx val="8"/>
                <c:order val="8"/>
                <c:tx>
                  <c:strRef>
                    <c:extLst>
                      <c:ext xmlns:c15="http://schemas.microsoft.com/office/drawing/2012/chart" uri="{02D57815-91ED-43cb-92C2-25804820EDAC}">
                        <c15:formulaRef>
                          <c15:sqref>Data!$J$1</c15:sqref>
                        </c15:formulaRef>
                      </c:ext>
                    </c:extLst>
                    <c:strCache>
                      <c:ptCount val="1"/>
                      <c:pt idx="0">
                        <c:v>Sparklines</c:v>
                      </c:pt>
                    </c:strCache>
                  </c:strRef>
                </c:tx>
                <c:dPt>
                  <c:idx val="1"/>
                  <c:bubble3D val="0"/>
                  <c:extLst>
                    <c:ext xmlns:c16="http://schemas.microsoft.com/office/drawing/2014/chart" uri="{C3380CC4-5D6E-409C-BE32-E72D297353CC}">
                      <c16:uniqueId val="{00000023-F739-46A6-97BB-30E7B0FDC063}"/>
                    </c:ext>
                  </c:extLst>
                </c:dPt>
                <c:cat>
                  <c:strRef>
                    <c:extLst>
                      <c:ext xmlns:c15="http://schemas.microsoft.com/office/drawing/2012/chart" uri="{02D57815-91ED-43cb-92C2-25804820EDAC}">
                        <c15:fullRef>
                          <c15:sqref>Data!$A$2:$A$13</c15:sqref>
                        </c15:fullRef>
                        <c15:formulaRef>
                          <c15:sqref>Data!$A$12:$A$13</c15:sqref>
                        </c15:formulaRef>
                      </c:ext>
                    </c:extLst>
                    <c:strCache>
                      <c:ptCount val="2"/>
                      <c:pt idx="0">
                        <c:v>Bicycle Crashes:</c:v>
                      </c:pt>
                      <c:pt idx="1">
                        <c:v>Bicycle Fatalities:</c:v>
                      </c:pt>
                    </c:strCache>
                  </c:strRef>
                </c:cat>
                <c:val>
                  <c:numRef>
                    <c:extLst>
                      <c:ext xmlns:c15="http://schemas.microsoft.com/office/drawing/2012/chart" uri="{02D57815-91ED-43cb-92C2-25804820EDAC}">
                        <c15:fullRef>
                          <c15:sqref>Data!$J$2:$J$13</c15:sqref>
                        </c15:fullRef>
                        <c15:formulaRef>
                          <c15:sqref>Data!$J$12:$J$13</c15:sqref>
                        </c15:formulaRef>
                      </c:ext>
                    </c:extLst>
                    <c:numCache>
                      <c:formatCode>General</c:formatCode>
                      <c:ptCount val="2"/>
                    </c:numCache>
                  </c:numRef>
                </c:val>
                <c:extLst xmlns:c15="http://schemas.microsoft.com/office/drawing/2012/chart">
                  <c:ext xmlns:c16="http://schemas.microsoft.com/office/drawing/2014/chart" uri="{C3380CC4-5D6E-409C-BE32-E72D297353CC}">
                    <c16:uniqueId val="{0000001A-2729-4571-8E45-7C709D7AC7F1}"/>
                  </c:ext>
                </c:extLst>
              </c15:ser>
            </c15:filteredPieSeries>
          </c:ext>
        </c:extLst>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t>Pedestrian</a:t>
            </a:r>
            <a:r>
              <a:rPr lang="en-US" b="1" baseline="0"/>
              <a:t> Crash Vs Fatilities</a:t>
            </a:r>
            <a:endParaRPr lang="en-US" b="1"/>
          </a:p>
        </c:rich>
      </c:tx>
      <c:layout>
        <c:manualLayout>
          <c:xMode val="edge"/>
          <c:yMode val="edge"/>
          <c:x val="0.13014538912972956"/>
          <c:y val="2.224694104560623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7318823138374076"/>
          <c:y val="0.17176470588235293"/>
          <c:w val="0.45944549507730748"/>
          <c:h val="0.56263646188611449"/>
        </c:manualLayout>
      </c:layout>
      <c:doughnutChart>
        <c:varyColors val="1"/>
        <c:ser>
          <c:idx val="5"/>
          <c:order val="5"/>
          <c:tx>
            <c:strRef>
              <c:f>Data!$G$1</c:f>
              <c:strCache>
                <c:ptCount val="1"/>
                <c:pt idx="0">
                  <c:v>Sum</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AE1-45D4-908C-63AF7D513A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AE1-45D4-908C-63AF7D513A4D}"/>
              </c:ext>
            </c:extLst>
          </c:dPt>
          <c:dLbls>
            <c:dLbl>
              <c:idx val="0"/>
              <c:layout>
                <c:manualLayout>
                  <c:x val="0.13920240782543258"/>
                  <c:y val="4.4493882091212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AE1-45D4-908C-63AF7D513A4D}"/>
                </c:ext>
              </c:extLst>
            </c:dLbl>
            <c:dLbl>
              <c:idx val="1"/>
              <c:layout>
                <c:manualLayout>
                  <c:x val="0.16302765647743814"/>
                  <c:y val="-5.70409982174688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AE1-45D4-908C-63AF7D513A4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Data!$A$2:$A$13</c15:sqref>
                  </c15:fullRef>
                </c:ext>
              </c:extLst>
              <c:f>Data!$A$10:$A$11</c:f>
              <c:strCache>
                <c:ptCount val="2"/>
                <c:pt idx="0">
                  <c:v>Pedestrian Crashes:</c:v>
                </c:pt>
                <c:pt idx="1">
                  <c:v>Pedestrian Fatalities:</c:v>
                </c:pt>
              </c:strCache>
            </c:strRef>
          </c:cat>
          <c:val>
            <c:numRef>
              <c:extLst>
                <c:ext xmlns:c15="http://schemas.microsoft.com/office/drawing/2012/chart" uri="{02D57815-91ED-43cb-92C2-25804820EDAC}">
                  <c15:fullRef>
                    <c15:sqref>Data!$G$2:$G$13</c15:sqref>
                  </c15:fullRef>
                </c:ext>
              </c:extLst>
              <c:f>Data!$G$10:$G$11</c:f>
              <c:numCache>
                <c:formatCode>General</c:formatCode>
                <c:ptCount val="2"/>
                <c:pt idx="0">
                  <c:v>41668</c:v>
                </c:pt>
                <c:pt idx="1">
                  <c:v>2688</c:v>
                </c:pt>
              </c:numCache>
            </c:numRef>
          </c:val>
          <c:extLst>
            <c:ext xmlns:c15="http://schemas.microsoft.com/office/drawing/2012/chart" uri="{02D57815-91ED-43cb-92C2-25804820EDAC}">
              <c15:categoryFilterExceptions>
                <c15:categoryFilterException>
                  <c15:sqref>Data!$G$12</c15:sqref>
                  <c15:bubble3D val="0"/>
                </c15:categoryFilterException>
                <c15:categoryFilterException>
                  <c15:sqref>Data!$G$13</c15:sqref>
                  <c15:spPr xmlns:c15="http://schemas.microsoft.com/office/drawing/2012/chart">
                    <a:solidFill>
                      <a:schemeClr val="accent6">
                        <a:lumMod val="60000"/>
                      </a:schemeClr>
                    </a:solidFill>
                    <a:ln w="19050">
                      <a:solidFill>
                        <a:schemeClr val="lt1"/>
                      </a:solidFill>
                    </a:ln>
                    <a:effectLst/>
                  </c15:spPr>
                  <c15:bubble3D val="0"/>
                  <c15:dLbl>
                    <c:idx val="1"/>
                    <c:layout>
                      <c:manualLayout>
                        <c:x val="0"/>
                        <c:y val="-0.12121212121212127"/>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3A-8297-4A26-BDBF-4915FF164A33}"/>
                      </c:ext>
                    </c:extLst>
                  </c15:dLbl>
                </c15:categoryFilterException>
              </c15:categoryFilterExceptions>
            </c:ext>
            <c:ext xmlns:c16="http://schemas.microsoft.com/office/drawing/2014/chart" uri="{C3380CC4-5D6E-409C-BE32-E72D297353CC}">
              <c16:uniqueId val="{00000004-4AE1-45D4-908C-63AF7D513A4D}"/>
            </c:ext>
          </c:extLst>
        </c:ser>
        <c:dLbls>
          <c:showLegendKey val="0"/>
          <c:showVal val="0"/>
          <c:showCatName val="0"/>
          <c:showSerName val="0"/>
          <c:showPercent val="0"/>
          <c:showBubbleSize val="0"/>
          <c:showLeaderLines val="1"/>
        </c:dLbls>
        <c:firstSliceAng val="12"/>
        <c:holeSize val="55"/>
        <c:extLst>
          <c:ext xmlns:c15="http://schemas.microsoft.com/office/drawing/2012/chart" uri="{02D57815-91ED-43cb-92C2-25804820EDAC}">
            <c15:filteredPieSeries>
              <c15:ser>
                <c:idx val="0"/>
                <c:order val="0"/>
                <c:tx>
                  <c:strRef>
                    <c:extLst>
                      <c:ext uri="{02D57815-91ED-43cb-92C2-25804820EDAC}">
                        <c15:formulaRef>
                          <c15:sqref>Data!$B$1</c15:sqref>
                        </c15:formulaRef>
                      </c:ext>
                    </c:extLst>
                    <c:strCache>
                      <c:ptCount val="1"/>
                      <c:pt idx="0">
                        <c:v>2011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4AE1-45D4-908C-63AF7D513A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4AE1-45D4-908C-63AF7D513A4D}"/>
                    </c:ext>
                  </c:extLst>
                </c:dPt>
                <c:cat>
                  <c:strRef>
                    <c:extLst>
                      <c:ext uri="{02D57815-91ED-43cb-92C2-25804820EDAC}">
                        <c15:fullRef>
                          <c15:sqref>Data!$A$2:$A$13</c15:sqref>
                        </c15:fullRef>
                        <c15:formulaRef>
                          <c15:sqref>Data!$A$10:$A$11</c15:sqref>
                        </c15:formulaRef>
                      </c:ext>
                    </c:extLst>
                    <c:strCache>
                      <c:ptCount val="2"/>
                      <c:pt idx="0">
                        <c:v>Pedestrian Crashes:</c:v>
                      </c:pt>
                      <c:pt idx="1">
                        <c:v>Pedestrian Fatalities:</c:v>
                      </c:pt>
                    </c:strCache>
                  </c:strRef>
                </c:cat>
                <c:val>
                  <c:numRef>
                    <c:extLst>
                      <c:ext uri="{02D57815-91ED-43cb-92C2-25804820EDAC}">
                        <c15:fullRef>
                          <c15:sqref>Data!$B$2:$B$13</c15:sqref>
                        </c15:fullRef>
                        <c15:formulaRef>
                          <c15:sqref>Data!$B$10:$B$11</c15:sqref>
                        </c15:formulaRef>
                      </c:ext>
                    </c:extLst>
                    <c:numCache>
                      <c:formatCode>General</c:formatCode>
                      <c:ptCount val="2"/>
                      <c:pt idx="0">
                        <c:v>7046</c:v>
                      </c:pt>
                      <c:pt idx="1">
                        <c:v>498</c:v>
                      </c:pt>
                    </c:numCache>
                  </c:numRef>
                </c:val>
                <c:extLst>
                  <c:ext uri="{02D57815-91ED-43cb-92C2-25804820EDAC}">
                    <c15:categoryFilterExceptions>
                      <c15:categoryFilterException>
                        <c15:sqref>Data!$B$12</c15:sqref>
                        <c15:spPr xmlns:c15="http://schemas.microsoft.com/office/drawing/2012/chart">
                          <a:solidFill>
                            <a:schemeClr val="accent5">
                              <a:lumMod val="60000"/>
                            </a:schemeClr>
                          </a:solidFill>
                          <a:ln w="19050">
                            <a:solidFill>
                              <a:schemeClr val="lt1"/>
                            </a:solidFill>
                          </a:ln>
                          <a:effectLst/>
                        </c15:spPr>
                        <c15:bubble3D val="0"/>
                      </c15:categoryFilterException>
                      <c15:categoryFilterException>
                        <c15:sqref>Data!$B$13</c15:sqref>
                        <c15:spPr xmlns:c15="http://schemas.microsoft.com/office/drawing/2012/chart">
                          <a:solidFill>
                            <a:schemeClr val="accent6">
                              <a:lumMod val="60000"/>
                            </a:schemeClr>
                          </a:solidFill>
                          <a:ln w="19050">
                            <a:solidFill>
                              <a:schemeClr val="lt1"/>
                            </a:solidFill>
                          </a:ln>
                          <a:effectLst/>
                        </c15:spPr>
                        <c15:bubble3D val="0"/>
                      </c15:categoryFilterException>
                    </c15:categoryFilterExceptions>
                  </c:ext>
                  <c:ext xmlns:c16="http://schemas.microsoft.com/office/drawing/2014/chart" uri="{C3380CC4-5D6E-409C-BE32-E72D297353CC}">
                    <c16:uniqueId val="{00000009-4AE1-45D4-908C-63AF7D513A4D}"/>
                  </c:ext>
                </c:extLst>
              </c15:ser>
            </c15:filteredPieSeries>
            <c15:filteredPieSeries>
              <c15:ser>
                <c:idx val="1"/>
                <c:order val="1"/>
                <c:tx>
                  <c:strRef>
                    <c:extLst>
                      <c:ext xmlns:c15="http://schemas.microsoft.com/office/drawing/2012/chart" uri="{02D57815-91ED-43cb-92C2-25804820EDAC}">
                        <c15:formulaRef>
                          <c15:sqref>Data!$C$1</c15:sqref>
                        </c15:formulaRef>
                      </c:ext>
                    </c:extLst>
                    <c:strCache>
                      <c:ptCount val="1"/>
                      <c:pt idx="0">
                        <c:v>2012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4AE1-45D4-908C-63AF7D513A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4AE1-45D4-908C-63AF7D513A4D}"/>
                    </c:ext>
                  </c:extLst>
                </c:dPt>
                <c:cat>
                  <c:strRef>
                    <c:extLst>
                      <c:ext xmlns:c15="http://schemas.microsoft.com/office/drawing/2012/chart" uri="{02D57815-91ED-43cb-92C2-25804820EDAC}">
                        <c15:fullRef>
                          <c15:sqref>Data!$A$2:$A$13</c15:sqref>
                        </c15:fullRef>
                        <c15:formulaRef>
                          <c15:sqref>Data!$A$10:$A$11</c15:sqref>
                        </c15:formulaRef>
                      </c:ext>
                    </c:extLst>
                    <c:strCache>
                      <c:ptCount val="2"/>
                      <c:pt idx="0">
                        <c:v>Pedestrian Crashes:</c:v>
                      </c:pt>
                      <c:pt idx="1">
                        <c:v>Pedestrian Fatalities:</c:v>
                      </c:pt>
                    </c:strCache>
                  </c:strRef>
                </c:cat>
                <c:val>
                  <c:numRef>
                    <c:extLst>
                      <c:ext xmlns:c15="http://schemas.microsoft.com/office/drawing/2012/chart" uri="{02D57815-91ED-43cb-92C2-25804820EDAC}">
                        <c15:fullRef>
                          <c15:sqref>Data!$C$2:$C$13</c15:sqref>
                        </c15:fullRef>
                        <c15:formulaRef>
                          <c15:sqref>Data!$C$10:$C$11</c15:sqref>
                        </c15:formulaRef>
                      </c:ext>
                    </c:extLst>
                    <c:numCache>
                      <c:formatCode>General</c:formatCode>
                      <c:ptCount val="2"/>
                      <c:pt idx="0">
                        <c:v>8280</c:v>
                      </c:pt>
                      <c:pt idx="1">
                        <c:v>476</c:v>
                      </c:pt>
                    </c:numCache>
                  </c:numRef>
                </c:val>
                <c:extLst xmlns:c15="http://schemas.microsoft.com/office/drawing/2012/chart">
                  <c:ext xmlns:c15="http://schemas.microsoft.com/office/drawing/2012/chart" uri="{02D57815-91ED-43cb-92C2-25804820EDAC}">
                    <c15:categoryFilterExceptions>
                      <c15:categoryFilterException>
                        <c15:sqref>Data!$C$12</c15:sqref>
                        <c15:spPr xmlns:c15="http://schemas.microsoft.com/office/drawing/2012/chart">
                          <a:solidFill>
                            <a:schemeClr val="accent5">
                              <a:lumMod val="60000"/>
                            </a:schemeClr>
                          </a:solidFill>
                          <a:ln w="19050">
                            <a:solidFill>
                              <a:schemeClr val="lt1"/>
                            </a:solidFill>
                          </a:ln>
                          <a:effectLst/>
                        </c15:spPr>
                        <c15:bubble3D val="0"/>
                      </c15:categoryFilterException>
                      <c15:categoryFilterException>
                        <c15:sqref>Data!$C$13</c15:sqref>
                        <c15:spPr xmlns:c15="http://schemas.microsoft.com/office/drawing/2012/chart">
                          <a:solidFill>
                            <a:schemeClr val="accent6">
                              <a:lumMod val="60000"/>
                            </a:schemeClr>
                          </a:solidFill>
                          <a:ln w="19050">
                            <a:solidFill>
                              <a:schemeClr val="lt1"/>
                            </a:solidFill>
                          </a:ln>
                          <a:effectLst/>
                        </c15:spPr>
                        <c15:bubble3D val="0"/>
                      </c15:categoryFilterException>
                    </c15:categoryFilterExceptions>
                  </c:ext>
                  <c:ext xmlns:c16="http://schemas.microsoft.com/office/drawing/2014/chart" uri="{C3380CC4-5D6E-409C-BE32-E72D297353CC}">
                    <c16:uniqueId val="{0000000E-4AE1-45D4-908C-63AF7D513A4D}"/>
                  </c:ext>
                </c:extLst>
              </c15:ser>
            </c15:filteredPieSeries>
            <c15:filteredPieSeries>
              <c15:ser>
                <c:idx val="2"/>
                <c:order val="2"/>
                <c:tx>
                  <c:strRef>
                    <c:extLst>
                      <c:ext xmlns:c15="http://schemas.microsoft.com/office/drawing/2012/chart" uri="{02D57815-91ED-43cb-92C2-25804820EDAC}">
                        <c15:formulaRef>
                          <c15:sqref>Data!$D$1</c15:sqref>
                        </c15:formulaRef>
                      </c:ext>
                    </c:extLst>
                    <c:strCache>
                      <c:ptCount val="1"/>
                      <c:pt idx="0">
                        <c:v>2013</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0-4AE1-45D4-908C-63AF7D513A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4AE1-45D4-908C-63AF7D513A4D}"/>
                    </c:ext>
                  </c:extLst>
                </c:dPt>
                <c:cat>
                  <c:strRef>
                    <c:extLst>
                      <c:ext xmlns:c15="http://schemas.microsoft.com/office/drawing/2012/chart" uri="{02D57815-91ED-43cb-92C2-25804820EDAC}">
                        <c15:fullRef>
                          <c15:sqref>Data!$A$2:$A$13</c15:sqref>
                        </c15:fullRef>
                        <c15:formulaRef>
                          <c15:sqref>Data!$A$10:$A$11</c15:sqref>
                        </c15:formulaRef>
                      </c:ext>
                    </c:extLst>
                    <c:strCache>
                      <c:ptCount val="2"/>
                      <c:pt idx="0">
                        <c:v>Pedestrian Crashes:</c:v>
                      </c:pt>
                      <c:pt idx="1">
                        <c:v>Pedestrian Fatalities:</c:v>
                      </c:pt>
                    </c:strCache>
                  </c:strRef>
                </c:cat>
                <c:val>
                  <c:numRef>
                    <c:extLst>
                      <c:ext xmlns:c15="http://schemas.microsoft.com/office/drawing/2012/chart" uri="{02D57815-91ED-43cb-92C2-25804820EDAC}">
                        <c15:fullRef>
                          <c15:sqref>Data!$D$2:$D$13</c15:sqref>
                        </c15:fullRef>
                        <c15:formulaRef>
                          <c15:sqref>Data!$D$10:$D$11</c15:sqref>
                        </c15:formulaRef>
                      </c:ext>
                    </c:extLst>
                    <c:numCache>
                      <c:formatCode>General</c:formatCode>
                      <c:ptCount val="2"/>
                      <c:pt idx="0">
                        <c:v>8421</c:v>
                      </c:pt>
                      <c:pt idx="1">
                        <c:v>498</c:v>
                      </c:pt>
                    </c:numCache>
                  </c:numRef>
                </c:val>
                <c:extLst xmlns:c15="http://schemas.microsoft.com/office/drawing/2012/chart">
                  <c:ext xmlns:c15="http://schemas.microsoft.com/office/drawing/2012/chart" uri="{02D57815-91ED-43cb-92C2-25804820EDAC}">
                    <c15:categoryFilterExceptions>
                      <c15:categoryFilterException>
                        <c15:sqref>Data!$D$12</c15:sqref>
                        <c15:spPr xmlns:c15="http://schemas.microsoft.com/office/drawing/2012/chart">
                          <a:solidFill>
                            <a:schemeClr val="accent5">
                              <a:lumMod val="60000"/>
                            </a:schemeClr>
                          </a:solidFill>
                          <a:ln w="19050">
                            <a:solidFill>
                              <a:schemeClr val="lt1"/>
                            </a:solidFill>
                          </a:ln>
                          <a:effectLst/>
                        </c15:spPr>
                        <c15:bubble3D val="0"/>
                      </c15:categoryFilterException>
                      <c15:categoryFilterException>
                        <c15:sqref>Data!$D$13</c15:sqref>
                        <c15:spPr xmlns:c15="http://schemas.microsoft.com/office/drawing/2012/chart">
                          <a:solidFill>
                            <a:schemeClr val="accent6">
                              <a:lumMod val="60000"/>
                            </a:schemeClr>
                          </a:solidFill>
                          <a:ln w="19050">
                            <a:solidFill>
                              <a:schemeClr val="lt1"/>
                            </a:solidFill>
                          </a:ln>
                          <a:effectLst/>
                        </c15:spPr>
                        <c15:bubble3D val="0"/>
                      </c15:categoryFilterException>
                    </c15:categoryFilterExceptions>
                  </c:ext>
                  <c:ext xmlns:c16="http://schemas.microsoft.com/office/drawing/2014/chart" uri="{C3380CC4-5D6E-409C-BE32-E72D297353CC}">
                    <c16:uniqueId val="{00000013-4AE1-45D4-908C-63AF7D513A4D}"/>
                  </c:ext>
                </c:extLst>
              </c15:ser>
            </c15:filteredPieSeries>
            <c15:filteredPieSeries>
              <c15:ser>
                <c:idx val="3"/>
                <c:order val="3"/>
                <c:tx>
                  <c:strRef>
                    <c:extLst>
                      <c:ext xmlns:c15="http://schemas.microsoft.com/office/drawing/2012/chart" uri="{02D57815-91ED-43cb-92C2-25804820EDAC}">
                        <c15:formulaRef>
                          <c15:sqref>Data!$E$1</c15:sqref>
                        </c15:formulaRef>
                      </c:ext>
                    </c:extLst>
                    <c:strCache>
                      <c:ptCount val="1"/>
                      <c:pt idx="0">
                        <c:v>2014</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4AE1-45D4-908C-63AF7D513A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4AE1-45D4-908C-63AF7D513A4D}"/>
                    </c:ext>
                  </c:extLst>
                </c:dPt>
                <c:cat>
                  <c:strRef>
                    <c:extLst>
                      <c:ext xmlns:c15="http://schemas.microsoft.com/office/drawing/2012/chart" uri="{02D57815-91ED-43cb-92C2-25804820EDAC}">
                        <c15:fullRef>
                          <c15:sqref>Data!$A$2:$A$13</c15:sqref>
                        </c15:fullRef>
                        <c15:formulaRef>
                          <c15:sqref>Data!$A$10:$A$11</c15:sqref>
                        </c15:formulaRef>
                      </c:ext>
                    </c:extLst>
                    <c:strCache>
                      <c:ptCount val="2"/>
                      <c:pt idx="0">
                        <c:v>Pedestrian Crashes:</c:v>
                      </c:pt>
                      <c:pt idx="1">
                        <c:v>Pedestrian Fatalities:</c:v>
                      </c:pt>
                    </c:strCache>
                  </c:strRef>
                </c:cat>
                <c:val>
                  <c:numRef>
                    <c:extLst>
                      <c:ext xmlns:c15="http://schemas.microsoft.com/office/drawing/2012/chart" uri="{02D57815-91ED-43cb-92C2-25804820EDAC}">
                        <c15:fullRef>
                          <c15:sqref>Data!$E$2:$E$13</c15:sqref>
                        </c15:fullRef>
                        <c15:formulaRef>
                          <c15:sqref>Data!$E$10:$E$11</c15:sqref>
                        </c15:formulaRef>
                      </c:ext>
                    </c:extLst>
                    <c:numCache>
                      <c:formatCode>General</c:formatCode>
                      <c:ptCount val="2"/>
                      <c:pt idx="0">
                        <c:v>8846</c:v>
                      </c:pt>
                      <c:pt idx="1">
                        <c:v>607</c:v>
                      </c:pt>
                    </c:numCache>
                  </c:numRef>
                </c:val>
                <c:extLst xmlns:c15="http://schemas.microsoft.com/office/drawing/2012/chart">
                  <c:ext xmlns:c15="http://schemas.microsoft.com/office/drawing/2012/chart" uri="{02D57815-91ED-43cb-92C2-25804820EDAC}">
                    <c15:categoryFilterExceptions>
                      <c15:categoryFilterException>
                        <c15:sqref>Data!$E$12</c15:sqref>
                        <c15:spPr xmlns:c15="http://schemas.microsoft.com/office/drawing/2012/chart">
                          <a:solidFill>
                            <a:schemeClr val="accent5">
                              <a:lumMod val="60000"/>
                            </a:schemeClr>
                          </a:solidFill>
                          <a:ln w="19050">
                            <a:solidFill>
                              <a:schemeClr val="lt1"/>
                            </a:solidFill>
                          </a:ln>
                          <a:effectLst/>
                        </c15:spPr>
                        <c15:bubble3D val="0"/>
                      </c15:categoryFilterException>
                      <c15:categoryFilterException>
                        <c15:sqref>Data!$E$13</c15:sqref>
                        <c15:spPr xmlns:c15="http://schemas.microsoft.com/office/drawing/2012/chart">
                          <a:solidFill>
                            <a:schemeClr val="accent6">
                              <a:lumMod val="60000"/>
                            </a:schemeClr>
                          </a:solidFill>
                          <a:ln w="19050">
                            <a:solidFill>
                              <a:schemeClr val="lt1"/>
                            </a:solidFill>
                          </a:ln>
                          <a:effectLst/>
                        </c15:spPr>
                        <c15:bubble3D val="0"/>
                      </c15:categoryFilterException>
                    </c15:categoryFilterExceptions>
                  </c:ext>
                  <c:ext xmlns:c16="http://schemas.microsoft.com/office/drawing/2014/chart" uri="{C3380CC4-5D6E-409C-BE32-E72D297353CC}">
                    <c16:uniqueId val="{00000018-4AE1-45D4-908C-63AF7D513A4D}"/>
                  </c:ext>
                </c:extLst>
              </c15:ser>
            </c15:filteredPieSeries>
            <c15:filteredPieSeries>
              <c15:ser>
                <c:idx val="4"/>
                <c:order val="4"/>
                <c:tx>
                  <c:strRef>
                    <c:extLst>
                      <c:ext xmlns:c15="http://schemas.microsoft.com/office/drawing/2012/chart" uri="{02D57815-91ED-43cb-92C2-25804820EDAC}">
                        <c15:formulaRef>
                          <c15:sqref>Data!$F$1</c15:sqref>
                        </c15:formulaRef>
                      </c:ext>
                    </c:extLst>
                    <c:strCache>
                      <c:ptCount val="1"/>
                      <c:pt idx="0">
                        <c:v>2015</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A-4AE1-45D4-908C-63AF7D513A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C-4AE1-45D4-908C-63AF7D513A4D}"/>
                    </c:ext>
                  </c:extLst>
                </c:dPt>
                <c:cat>
                  <c:strRef>
                    <c:extLst>
                      <c:ext xmlns:c15="http://schemas.microsoft.com/office/drawing/2012/chart" uri="{02D57815-91ED-43cb-92C2-25804820EDAC}">
                        <c15:fullRef>
                          <c15:sqref>Data!$A$2:$A$13</c15:sqref>
                        </c15:fullRef>
                        <c15:formulaRef>
                          <c15:sqref>Data!$A$10:$A$11</c15:sqref>
                        </c15:formulaRef>
                      </c:ext>
                    </c:extLst>
                    <c:strCache>
                      <c:ptCount val="2"/>
                      <c:pt idx="0">
                        <c:v>Pedestrian Crashes:</c:v>
                      </c:pt>
                      <c:pt idx="1">
                        <c:v>Pedestrian Fatalities:</c:v>
                      </c:pt>
                    </c:strCache>
                  </c:strRef>
                </c:cat>
                <c:val>
                  <c:numRef>
                    <c:extLst>
                      <c:ext xmlns:c15="http://schemas.microsoft.com/office/drawing/2012/chart" uri="{02D57815-91ED-43cb-92C2-25804820EDAC}">
                        <c15:fullRef>
                          <c15:sqref>Data!$F$2:$F$13</c15:sqref>
                        </c15:fullRef>
                        <c15:formulaRef>
                          <c15:sqref>Data!$F$10:$F$11</c15:sqref>
                        </c15:formulaRef>
                      </c:ext>
                    </c:extLst>
                    <c:numCache>
                      <c:formatCode>General</c:formatCode>
                      <c:ptCount val="2"/>
                      <c:pt idx="0">
                        <c:v>9075</c:v>
                      </c:pt>
                      <c:pt idx="1">
                        <c:v>609</c:v>
                      </c:pt>
                    </c:numCache>
                  </c:numRef>
                </c:val>
                <c:extLst xmlns:c15="http://schemas.microsoft.com/office/drawing/2012/chart">
                  <c:ext xmlns:c15="http://schemas.microsoft.com/office/drawing/2012/chart" uri="{02D57815-91ED-43cb-92C2-25804820EDAC}">
                    <c15:categoryFilterExceptions>
                      <c15:categoryFilterException>
                        <c15:sqref>Data!$F$12</c15:sqref>
                        <c15:spPr xmlns:c15="http://schemas.microsoft.com/office/drawing/2012/chart">
                          <a:solidFill>
                            <a:schemeClr val="accent5">
                              <a:lumMod val="60000"/>
                            </a:schemeClr>
                          </a:solidFill>
                          <a:ln w="19050">
                            <a:solidFill>
                              <a:schemeClr val="lt1"/>
                            </a:solidFill>
                          </a:ln>
                          <a:effectLst/>
                        </c15:spPr>
                        <c15:bubble3D val="0"/>
                      </c15:categoryFilterException>
                      <c15:categoryFilterException>
                        <c15:sqref>Data!$F$13</c15:sqref>
                        <c15:spPr xmlns:c15="http://schemas.microsoft.com/office/drawing/2012/chart">
                          <a:solidFill>
                            <a:schemeClr val="accent6">
                              <a:lumMod val="60000"/>
                            </a:schemeClr>
                          </a:solidFill>
                          <a:ln w="19050">
                            <a:solidFill>
                              <a:schemeClr val="lt1"/>
                            </a:solidFill>
                          </a:ln>
                          <a:effectLst/>
                        </c15:spPr>
                        <c15:bubble3D val="0"/>
                      </c15:categoryFilterException>
                    </c15:categoryFilterExceptions>
                  </c:ext>
                  <c:ext xmlns:c16="http://schemas.microsoft.com/office/drawing/2014/chart" uri="{C3380CC4-5D6E-409C-BE32-E72D297353CC}">
                    <c16:uniqueId val="{0000001D-4AE1-45D4-908C-63AF7D513A4D}"/>
                  </c:ext>
                </c:extLst>
              </c15:ser>
            </c15:filteredPieSeries>
            <c15:filteredPieSeries>
              <c15:ser>
                <c:idx val="6"/>
                <c:order val="6"/>
                <c:tx>
                  <c:strRef>
                    <c:extLst>
                      <c:ext xmlns:c15="http://schemas.microsoft.com/office/drawing/2012/chart" uri="{02D57815-91ED-43cb-92C2-25804820EDAC}">
                        <c15:formulaRef>
                          <c15:sqref>Data!$H$1</c15:sqref>
                        </c15:formulaRef>
                      </c:ext>
                    </c:extLst>
                    <c:strCache>
                      <c:ptCount val="1"/>
                      <c:pt idx="0">
                        <c:v>Difference 2015 &amp;2011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9-D8A3-420E-AE21-749B7B9939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B-D8A3-420E-AE21-749B7B993976}"/>
                    </c:ext>
                  </c:extLst>
                </c:dPt>
                <c:cat>
                  <c:strRef>
                    <c:extLst>
                      <c:ext xmlns:c15="http://schemas.microsoft.com/office/drawing/2012/chart" uri="{02D57815-91ED-43cb-92C2-25804820EDAC}">
                        <c15:fullRef>
                          <c15:sqref>Data!$A$2:$A$13</c15:sqref>
                        </c15:fullRef>
                        <c15:formulaRef>
                          <c15:sqref>Data!$A$10:$A$11</c15:sqref>
                        </c15:formulaRef>
                      </c:ext>
                    </c:extLst>
                    <c:strCache>
                      <c:ptCount val="2"/>
                      <c:pt idx="0">
                        <c:v>Pedestrian Crashes:</c:v>
                      </c:pt>
                      <c:pt idx="1">
                        <c:v>Pedestrian Fatalities:</c:v>
                      </c:pt>
                    </c:strCache>
                  </c:strRef>
                </c:cat>
                <c:val>
                  <c:numRef>
                    <c:extLst>
                      <c:ext xmlns:c15="http://schemas.microsoft.com/office/drawing/2012/chart" uri="{02D57815-91ED-43cb-92C2-25804820EDAC}">
                        <c15:fullRef>
                          <c15:sqref>Data!$H$2:$H$13</c15:sqref>
                        </c15:fullRef>
                        <c15:formulaRef>
                          <c15:sqref>Data!$H$10:$H$11</c15:sqref>
                        </c15:formulaRef>
                      </c:ext>
                    </c:extLst>
                    <c:numCache>
                      <c:formatCode>General</c:formatCode>
                      <c:ptCount val="2"/>
                      <c:pt idx="0">
                        <c:v>2029</c:v>
                      </c:pt>
                      <c:pt idx="1">
                        <c:v>111</c:v>
                      </c:pt>
                    </c:numCache>
                  </c:numRef>
                </c:val>
                <c:extLst xmlns:c15="http://schemas.microsoft.com/office/drawing/2012/chart">
                  <c:ext xmlns:c15="http://schemas.microsoft.com/office/drawing/2012/chart" uri="{02D57815-91ED-43cb-92C2-25804820EDAC}">
                    <c15:categoryFilterExceptions>
                      <c15:categoryFilterException>
                        <c15:sqref>Data!$H$13</c15:sqref>
                        <c15:spPr xmlns:c15="http://schemas.microsoft.com/office/drawing/2012/chart">
                          <a:solidFill>
                            <a:schemeClr val="accent6">
                              <a:lumMod val="60000"/>
                            </a:schemeClr>
                          </a:solidFill>
                          <a:ln w="19050">
                            <a:solidFill>
                              <a:schemeClr val="lt1"/>
                            </a:solidFill>
                          </a:ln>
                          <a:effectLst/>
                        </c15:spPr>
                        <c15:bubble3D val="0"/>
                      </c15:categoryFilterException>
                    </c15:categoryFilterExceptions>
                  </c:ext>
                  <c:ext xmlns:c16="http://schemas.microsoft.com/office/drawing/2014/chart" uri="{C3380CC4-5D6E-409C-BE32-E72D297353CC}">
                    <c16:uniqueId val="{0000002E-D20B-48F5-B5C2-A7765E7FC3D0}"/>
                  </c:ext>
                </c:extLst>
              </c15:ser>
            </c15:filteredPieSeries>
            <c15:filteredPieSeries>
              <c15:ser>
                <c:idx val="7"/>
                <c:order val="7"/>
                <c:tx>
                  <c:strRef>
                    <c:extLst>
                      <c:ext xmlns:c15="http://schemas.microsoft.com/office/drawing/2012/chart" uri="{02D57815-91ED-43cb-92C2-25804820EDAC}">
                        <c15:formulaRef>
                          <c15:sqref>Data!$I$1</c15:sqref>
                        </c15:formulaRef>
                      </c:ext>
                    </c:extLst>
                    <c:strCache>
                      <c:ptCount val="1"/>
                      <c:pt idx="0">
                        <c:v>Ratio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D-D8A3-420E-AE21-749B7B9939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F-D8A3-420E-AE21-749B7B993976}"/>
                    </c:ext>
                  </c:extLst>
                </c:dPt>
                <c:cat>
                  <c:strRef>
                    <c:extLst>
                      <c:ext xmlns:c15="http://schemas.microsoft.com/office/drawing/2012/chart" uri="{02D57815-91ED-43cb-92C2-25804820EDAC}">
                        <c15:fullRef>
                          <c15:sqref>Data!$A$2:$A$13</c15:sqref>
                        </c15:fullRef>
                        <c15:formulaRef>
                          <c15:sqref>Data!$A$10:$A$11</c15:sqref>
                        </c15:formulaRef>
                      </c:ext>
                    </c:extLst>
                    <c:strCache>
                      <c:ptCount val="2"/>
                      <c:pt idx="0">
                        <c:v>Pedestrian Crashes:</c:v>
                      </c:pt>
                      <c:pt idx="1">
                        <c:v>Pedestrian Fatalities:</c:v>
                      </c:pt>
                    </c:strCache>
                  </c:strRef>
                </c:cat>
                <c:val>
                  <c:numRef>
                    <c:extLst>
                      <c:ext xmlns:c15="http://schemas.microsoft.com/office/drawing/2012/chart" uri="{02D57815-91ED-43cb-92C2-25804820EDAC}">
                        <c15:fullRef>
                          <c15:sqref>Data!$I$2:$I$13</c15:sqref>
                        </c15:fullRef>
                        <c15:formulaRef>
                          <c15:sqref>Data!$I$10:$I$11</c15:sqref>
                        </c15:formulaRef>
                      </c:ext>
                    </c:extLst>
                    <c:numCache>
                      <c:formatCode>0.00</c:formatCode>
                      <c:ptCount val="2"/>
                      <c:pt idx="0">
                        <c:v>28.796480272495035</c:v>
                      </c:pt>
                      <c:pt idx="1">
                        <c:v>22.289156626506024</c:v>
                      </c:pt>
                    </c:numCache>
                  </c:numRef>
                </c:val>
                <c:extLst xmlns:c15="http://schemas.microsoft.com/office/drawing/2012/chart">
                  <c:ext xmlns:c15="http://schemas.microsoft.com/office/drawing/2012/chart" uri="{02D57815-91ED-43cb-92C2-25804820EDAC}">
                    <c15:categoryFilterExceptions>
                      <c15:categoryFilterException>
                        <c15:sqref>Data!$I$13</c15:sqref>
                        <c15:spPr xmlns:c15="http://schemas.microsoft.com/office/drawing/2012/chart">
                          <a:solidFill>
                            <a:schemeClr val="accent6">
                              <a:lumMod val="60000"/>
                            </a:schemeClr>
                          </a:solidFill>
                          <a:ln w="19050">
                            <a:solidFill>
                              <a:schemeClr val="lt1"/>
                            </a:solidFill>
                          </a:ln>
                          <a:effectLst/>
                        </c15:spPr>
                        <c15:bubble3D val="0"/>
                      </c15:categoryFilterException>
                    </c15:categoryFilterExceptions>
                  </c:ext>
                  <c:ext xmlns:c16="http://schemas.microsoft.com/office/drawing/2014/chart" uri="{C3380CC4-5D6E-409C-BE32-E72D297353CC}">
                    <c16:uniqueId val="{0000002F-D20B-48F5-B5C2-A7765E7FC3D0}"/>
                  </c:ext>
                </c:extLst>
              </c15:ser>
            </c15:filteredPieSeries>
            <c15:filteredPieSeries>
              <c15:ser>
                <c:idx val="8"/>
                <c:order val="8"/>
                <c:tx>
                  <c:strRef>
                    <c:extLst>
                      <c:ext xmlns:c15="http://schemas.microsoft.com/office/drawing/2012/chart" uri="{02D57815-91ED-43cb-92C2-25804820EDAC}">
                        <c15:formulaRef>
                          <c15:sqref>Data!$J$1</c15:sqref>
                        </c15:formulaRef>
                      </c:ext>
                    </c:extLst>
                    <c:strCache>
                      <c:ptCount val="1"/>
                      <c:pt idx="0">
                        <c:v>Sparklines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1-D8A3-420E-AE21-749B7B9939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3-D8A3-420E-AE21-749B7B993976}"/>
                    </c:ext>
                  </c:extLst>
                </c:dPt>
                <c:cat>
                  <c:strRef>
                    <c:extLst>
                      <c:ext xmlns:c15="http://schemas.microsoft.com/office/drawing/2012/chart" uri="{02D57815-91ED-43cb-92C2-25804820EDAC}">
                        <c15:fullRef>
                          <c15:sqref>Data!$A$2:$A$13</c15:sqref>
                        </c15:fullRef>
                        <c15:formulaRef>
                          <c15:sqref>Data!$A$10:$A$11</c15:sqref>
                        </c15:formulaRef>
                      </c:ext>
                    </c:extLst>
                    <c:strCache>
                      <c:ptCount val="2"/>
                      <c:pt idx="0">
                        <c:v>Pedestrian Crashes:</c:v>
                      </c:pt>
                      <c:pt idx="1">
                        <c:v>Pedestrian Fatalities:</c:v>
                      </c:pt>
                    </c:strCache>
                  </c:strRef>
                </c:cat>
                <c:val>
                  <c:numRef>
                    <c:extLst>
                      <c:ext xmlns:c15="http://schemas.microsoft.com/office/drawing/2012/chart" uri="{02D57815-91ED-43cb-92C2-25804820EDAC}">
                        <c15:fullRef>
                          <c15:sqref>Data!$J$2:$J$13</c15:sqref>
                        </c15:fullRef>
                        <c15:formulaRef>
                          <c15:sqref>Data!$J$10:$J$11</c15:sqref>
                        </c15:formulaRef>
                      </c:ext>
                    </c:extLst>
                    <c:numCache>
                      <c:formatCode>General</c:formatCode>
                      <c:ptCount val="2"/>
                    </c:numCache>
                  </c:numRef>
                </c:val>
                <c:extLst xmlns:c15="http://schemas.microsoft.com/office/drawing/2012/chart">
                  <c:ext xmlns:c15="http://schemas.microsoft.com/office/drawing/2012/chart" uri="{02D57815-91ED-43cb-92C2-25804820EDAC}">
                    <c15:categoryFilterExceptions>
                      <c15:categoryFilterException>
                        <c15:sqref>Data!$J$13</c15:sqref>
                        <c15:spPr xmlns:c15="http://schemas.microsoft.com/office/drawing/2012/chart">
                          <a:solidFill>
                            <a:schemeClr val="accent6">
                              <a:lumMod val="60000"/>
                            </a:schemeClr>
                          </a:solidFill>
                          <a:ln w="19050">
                            <a:solidFill>
                              <a:schemeClr val="lt1"/>
                            </a:solidFill>
                          </a:ln>
                          <a:effectLst/>
                        </c15:spPr>
                        <c15:bubble3D val="0"/>
                      </c15:categoryFilterException>
                    </c15:categoryFilterExceptions>
                  </c:ext>
                  <c:ext xmlns:c16="http://schemas.microsoft.com/office/drawing/2014/chart" uri="{C3380CC4-5D6E-409C-BE32-E72D297353CC}">
                    <c16:uniqueId val="{00000030-D20B-48F5-B5C2-A7765E7FC3D0}"/>
                  </c:ext>
                </c:extLst>
              </c15:ser>
            </c15:filteredPieSeries>
          </c:ext>
        </c:extLst>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1" i="0" u="none" strike="noStrike" kern="1200" spc="0" baseline="0">
                <a:solidFill>
                  <a:schemeClr val="tx1">
                    <a:lumMod val="65000"/>
                    <a:lumOff val="35000"/>
                  </a:schemeClr>
                </a:solidFill>
                <a:latin typeface="+mn-lt"/>
                <a:ea typeface="+mn-ea"/>
                <a:cs typeface="+mn-cs"/>
              </a:defRPr>
            </a:pPr>
            <a:r>
              <a:rPr lang="en-US" b="1"/>
              <a:t>Traffic Fatilities Vs Crashes with Traffic Fatilities</a:t>
            </a:r>
          </a:p>
        </c:rich>
      </c:tx>
      <c:layout>
        <c:manualLayout>
          <c:xMode val="edge"/>
          <c:yMode val="edge"/>
          <c:x val="7.0899648182275047E-4"/>
          <c:y val="0"/>
        </c:manualLayout>
      </c:layout>
      <c:overlay val="0"/>
      <c:spPr>
        <a:noFill/>
        <a:ln>
          <a:noFill/>
        </a:ln>
        <a:effectLst/>
      </c:spPr>
      <c:txPr>
        <a:bodyPr rot="0" spcFirstLastPara="1" vertOverflow="ellipsis" vert="horz" wrap="square" anchor="ctr" anchorCtr="1"/>
        <a:lstStyle/>
        <a:p>
          <a:pPr algn="l">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8252504607136875"/>
          <c:y val="0.1850353576616085"/>
          <c:w val="0.43494946110459604"/>
          <c:h val="0.54368652276399021"/>
        </c:manualLayout>
      </c:layout>
      <c:doughnutChart>
        <c:varyColors val="1"/>
        <c:ser>
          <c:idx val="5"/>
          <c:order val="5"/>
          <c:tx>
            <c:strRef>
              <c:f>Data!$G$1</c:f>
              <c:strCache>
                <c:ptCount val="1"/>
                <c:pt idx="0">
                  <c:v>Sum</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8-1681-4B6C-B887-F270BE9220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7-1681-4B6C-B887-F270BE92207C}"/>
              </c:ext>
            </c:extLst>
          </c:dPt>
          <c:dLbls>
            <c:dLbl>
              <c:idx val="0"/>
              <c:layout>
                <c:manualLayout>
                  <c:x val="0.1103754207876332"/>
                  <c:y val="4.4247761916845561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596026490066224"/>
                      <c:h val="9.5759821754685059E-2"/>
                    </c:manualLayout>
                  </c15:layout>
                </c:ext>
                <c:ext xmlns:c16="http://schemas.microsoft.com/office/drawing/2014/chart" uri="{C3380CC4-5D6E-409C-BE32-E72D297353CC}">
                  <c16:uniqueId val="{00000038-1681-4B6C-B887-F270BE92207C}"/>
                </c:ext>
              </c:extLst>
            </c:dLbl>
            <c:dLbl>
              <c:idx val="1"/>
              <c:layout>
                <c:manualLayout>
                  <c:x val="-8.0941869021339222E-2"/>
                  <c:y val="7.374626986140859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7-1681-4B6C-B887-F270BE92207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Data!$A$2:$A$13</c15:sqref>
                  </c15:fullRef>
                </c:ext>
              </c:extLst>
              <c:f>Data!$A$5:$A$6</c:f>
              <c:strCache>
                <c:ptCount val="2"/>
                <c:pt idx="0">
                  <c:v>Crashes with Traffic Fatalities:</c:v>
                </c:pt>
                <c:pt idx="1">
                  <c:v>Total Traffic Fatalities</c:v>
                </c:pt>
              </c:strCache>
            </c:strRef>
          </c:cat>
          <c:val>
            <c:numRef>
              <c:extLst>
                <c:ext xmlns:c15="http://schemas.microsoft.com/office/drawing/2012/chart" uri="{02D57815-91ED-43cb-92C2-25804820EDAC}">
                  <c15:fullRef>
                    <c15:sqref>Data!$G$2:$G$13</c15:sqref>
                  </c15:fullRef>
                </c:ext>
              </c:extLst>
              <c:f>Data!$G$5:$G$6</c:f>
              <c:numCache>
                <c:formatCode>General</c:formatCode>
                <c:ptCount val="2"/>
                <c:pt idx="0">
                  <c:v>11697</c:v>
                </c:pt>
                <c:pt idx="1">
                  <c:v>12622</c:v>
                </c:pt>
              </c:numCache>
            </c:numRef>
          </c:val>
          <c:extLst>
            <c:ext xmlns:c15="http://schemas.microsoft.com/office/drawing/2012/chart" uri="{02D57815-91ED-43cb-92C2-25804820EDAC}">
              <c15:categoryFilterExceptions>
                <c15:categoryFilterException>
                  <c15:sqref>Data!$G$12</c15:sqref>
                  <c15:explosion val="317"/>
                  <c15:bubble3D val="0"/>
                </c15:categoryFilterException>
                <c15:categoryFilterException>
                  <c15:sqref>Data!$G$13</c15:sqref>
                  <c15:spPr xmlns:c15="http://schemas.microsoft.com/office/drawing/2012/chart">
                    <a:solidFill>
                      <a:schemeClr val="accent6">
                        <a:lumMod val="60000"/>
                      </a:schemeClr>
                    </a:solidFill>
                    <a:ln w="19050">
                      <a:solidFill>
                        <a:schemeClr val="lt1"/>
                      </a:solidFill>
                    </a:ln>
                    <a:effectLst/>
                  </c15:spPr>
                  <c15:bubble3D val="0"/>
                  <c15:dLbl>
                    <c:idx val="1"/>
                    <c:layout>
                      <c:manualLayout>
                        <c:x val="0.13617021276595745"/>
                        <c:y val="2.1276583862967567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4F-7D17-4A1B-BC38-B2AAA75CCDDF}"/>
                      </c:ext>
                    </c:extLst>
                  </c15:dLbl>
                </c15:categoryFilterException>
              </c15:categoryFilterExceptions>
            </c:ext>
            <c:ext xmlns:c16="http://schemas.microsoft.com/office/drawing/2014/chart" uri="{C3380CC4-5D6E-409C-BE32-E72D297353CC}">
              <c16:uniqueId val="{00000004-1681-4B6C-B887-F270BE92207C}"/>
            </c:ext>
          </c:extLst>
        </c:ser>
        <c:dLbls>
          <c:showLegendKey val="0"/>
          <c:showVal val="0"/>
          <c:showCatName val="0"/>
          <c:showSerName val="0"/>
          <c:showPercent val="0"/>
          <c:showBubbleSize val="0"/>
          <c:showLeaderLines val="1"/>
        </c:dLbls>
        <c:firstSliceAng val="0"/>
        <c:holeSize val="56"/>
        <c:extLst>
          <c:ext xmlns:c15="http://schemas.microsoft.com/office/drawing/2012/chart" uri="{02D57815-91ED-43cb-92C2-25804820EDAC}">
            <c15:filteredPieSeries>
              <c15:ser>
                <c:idx val="0"/>
                <c:order val="0"/>
                <c:tx>
                  <c:strRef>
                    <c:extLst>
                      <c:ext uri="{02D57815-91ED-43cb-92C2-25804820EDAC}">
                        <c15:formulaRef>
                          <c15:sqref>Data!$B$1</c15:sqref>
                        </c15:formulaRef>
                      </c:ext>
                    </c:extLst>
                    <c:strCache>
                      <c:ptCount val="1"/>
                      <c:pt idx="0">
                        <c:v>2011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3F72-4090-A3FA-A81ED38BC2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3F72-4090-A3FA-A81ED38BC2F6}"/>
                    </c:ext>
                  </c:extLst>
                </c:dPt>
                <c:cat>
                  <c:strRef>
                    <c:extLst>
                      <c:ext uri="{02D57815-91ED-43cb-92C2-25804820EDAC}">
                        <c15:fullRef>
                          <c15:sqref>Data!$A$2:$A$13</c15:sqref>
                        </c15:fullRef>
                        <c15:formulaRef>
                          <c15:sqref>Data!$A$5:$A$6</c15:sqref>
                        </c15:formulaRef>
                      </c:ext>
                    </c:extLst>
                    <c:strCache>
                      <c:ptCount val="2"/>
                      <c:pt idx="0">
                        <c:v>Crashes with Traffic Fatalities:</c:v>
                      </c:pt>
                      <c:pt idx="1">
                        <c:v>Total Traffic Fatalities</c:v>
                      </c:pt>
                    </c:strCache>
                  </c:strRef>
                </c:cat>
                <c:val>
                  <c:numRef>
                    <c:extLst>
                      <c:ext uri="{02D57815-91ED-43cb-92C2-25804820EDAC}">
                        <c15:fullRef>
                          <c15:sqref>Data!$B$2:$B$13</c15:sqref>
                        </c15:fullRef>
                        <c15:formulaRef>
                          <c15:sqref>Data!$B$5:$B$6</c15:sqref>
                        </c15:formulaRef>
                      </c:ext>
                    </c:extLst>
                    <c:numCache>
                      <c:formatCode>General</c:formatCode>
                      <c:ptCount val="2"/>
                      <c:pt idx="0">
                        <c:v>2215</c:v>
                      </c:pt>
                      <c:pt idx="1">
                        <c:v>2404</c:v>
                      </c:pt>
                    </c:numCache>
                  </c:numRef>
                </c:val>
                <c:extLst>
                  <c:ext uri="{02D57815-91ED-43cb-92C2-25804820EDAC}">
                    <c15:categoryFilterExceptions>
                      <c15:categoryFilterException>
                        <c15:sqref>Data!$B$7</c15:sqref>
                        <c15:spPr xmlns:c15="http://schemas.microsoft.com/office/drawing/2012/chart">
                          <a:solidFill>
                            <a:schemeClr val="accent6"/>
                          </a:solidFill>
                          <a:ln w="19050">
                            <a:solidFill>
                              <a:schemeClr val="lt1"/>
                            </a:solidFill>
                          </a:ln>
                          <a:effectLst/>
                        </c15:spPr>
                        <c15:bubble3D val="0"/>
                      </c15:categoryFilterException>
                      <c15:categoryFilterException>
                        <c15:sqref>Data!$B$8</c15:sqref>
                        <c15:spPr xmlns:c15="http://schemas.microsoft.com/office/drawing/2012/chart">
                          <a:solidFill>
                            <a:schemeClr val="accent1">
                              <a:lumMod val="60000"/>
                            </a:schemeClr>
                          </a:solidFill>
                          <a:ln w="19050">
                            <a:solidFill>
                              <a:schemeClr val="lt1"/>
                            </a:solidFill>
                          </a:ln>
                          <a:effectLst/>
                        </c15:spPr>
                        <c15:bubble3D val="0"/>
                      </c15:categoryFilterException>
                      <c15:categoryFilterException>
                        <c15:sqref>Data!$B$12</c15:sqref>
                        <c15:spPr xmlns:c15="http://schemas.microsoft.com/office/drawing/2012/chart">
                          <a:solidFill>
                            <a:schemeClr val="accent5">
                              <a:lumMod val="60000"/>
                            </a:schemeClr>
                          </a:solidFill>
                          <a:ln w="19050">
                            <a:solidFill>
                              <a:schemeClr val="lt1"/>
                            </a:solidFill>
                          </a:ln>
                          <a:effectLst/>
                        </c15:spPr>
                        <c15:bubble3D val="0"/>
                      </c15:categoryFilterException>
                      <c15:categoryFilterException>
                        <c15:sqref>Data!$B$13</c15:sqref>
                        <c15:spPr xmlns:c15="http://schemas.microsoft.com/office/drawing/2012/chart">
                          <a:solidFill>
                            <a:schemeClr val="accent6">
                              <a:lumMod val="60000"/>
                            </a:schemeClr>
                          </a:solidFill>
                          <a:ln w="19050">
                            <a:solidFill>
                              <a:schemeClr val="lt1"/>
                            </a:solidFill>
                          </a:ln>
                          <a:effectLst/>
                        </c15:spPr>
                        <c15:bubble3D val="0"/>
                      </c15:categoryFilterException>
                    </c15:categoryFilterExceptions>
                  </c:ext>
                  <c:ext xmlns:c16="http://schemas.microsoft.com/office/drawing/2014/chart" uri="{C3380CC4-5D6E-409C-BE32-E72D297353CC}">
                    <c16:uniqueId val="{00000009-1681-4B6C-B887-F270BE92207C}"/>
                  </c:ext>
                </c:extLst>
              </c15:ser>
            </c15:filteredPieSeries>
            <c15:filteredPieSeries>
              <c15:ser>
                <c:idx val="1"/>
                <c:order val="1"/>
                <c:tx>
                  <c:strRef>
                    <c:extLst>
                      <c:ext xmlns:c15="http://schemas.microsoft.com/office/drawing/2012/chart" uri="{02D57815-91ED-43cb-92C2-25804820EDAC}">
                        <c15:formulaRef>
                          <c15:sqref>Data!$C$1</c15:sqref>
                        </c15:formulaRef>
                      </c:ext>
                    </c:extLst>
                    <c:strCache>
                      <c:ptCount val="1"/>
                      <c:pt idx="0">
                        <c:v>2012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3F72-4090-A3FA-A81ED38BC2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3F72-4090-A3FA-A81ED38BC2F6}"/>
                    </c:ext>
                  </c:extLst>
                </c:dPt>
                <c:cat>
                  <c:strRef>
                    <c:extLst>
                      <c:ext xmlns:c15="http://schemas.microsoft.com/office/drawing/2012/chart" uri="{02D57815-91ED-43cb-92C2-25804820EDAC}">
                        <c15:fullRef>
                          <c15:sqref>Data!$A$2:$A$13</c15:sqref>
                        </c15:fullRef>
                        <c15:formulaRef>
                          <c15:sqref>Data!$A$5:$A$6</c15:sqref>
                        </c15:formulaRef>
                      </c:ext>
                    </c:extLst>
                    <c:strCache>
                      <c:ptCount val="2"/>
                      <c:pt idx="0">
                        <c:v>Crashes with Traffic Fatalities:</c:v>
                      </c:pt>
                      <c:pt idx="1">
                        <c:v>Total Traffic Fatalities</c:v>
                      </c:pt>
                    </c:strCache>
                  </c:strRef>
                </c:cat>
                <c:val>
                  <c:numRef>
                    <c:extLst>
                      <c:ext xmlns:c15="http://schemas.microsoft.com/office/drawing/2012/chart" uri="{02D57815-91ED-43cb-92C2-25804820EDAC}">
                        <c15:fullRef>
                          <c15:sqref>Data!$C$2:$C$13</c15:sqref>
                        </c15:fullRef>
                        <c15:formulaRef>
                          <c15:sqref>Data!$C$5:$C$6</c15:sqref>
                        </c15:formulaRef>
                      </c:ext>
                    </c:extLst>
                    <c:numCache>
                      <c:formatCode>General</c:formatCode>
                      <c:ptCount val="2"/>
                      <c:pt idx="0">
                        <c:v>2249</c:v>
                      </c:pt>
                      <c:pt idx="1">
                        <c:v>2420</c:v>
                      </c:pt>
                    </c:numCache>
                  </c:numRef>
                </c:val>
                <c:extLst xmlns:c15="http://schemas.microsoft.com/office/drawing/2012/chart">
                  <c:ext xmlns:c15="http://schemas.microsoft.com/office/drawing/2012/chart" uri="{02D57815-91ED-43cb-92C2-25804820EDAC}">
                    <c15:categoryFilterExceptions>
                      <c15:categoryFilterException>
                        <c15:sqref>Data!$C$7</c15:sqref>
                        <c15:spPr xmlns:c15="http://schemas.microsoft.com/office/drawing/2012/chart">
                          <a:solidFill>
                            <a:schemeClr val="accent6"/>
                          </a:solidFill>
                          <a:ln w="19050">
                            <a:solidFill>
                              <a:schemeClr val="lt1"/>
                            </a:solidFill>
                          </a:ln>
                          <a:effectLst/>
                        </c15:spPr>
                        <c15:bubble3D val="0"/>
                      </c15:categoryFilterException>
                      <c15:categoryFilterException>
                        <c15:sqref>Data!$C$8</c15:sqref>
                        <c15:spPr xmlns:c15="http://schemas.microsoft.com/office/drawing/2012/chart">
                          <a:solidFill>
                            <a:schemeClr val="accent1">
                              <a:lumMod val="60000"/>
                            </a:schemeClr>
                          </a:solidFill>
                          <a:ln w="19050">
                            <a:solidFill>
                              <a:schemeClr val="lt1"/>
                            </a:solidFill>
                          </a:ln>
                          <a:effectLst/>
                        </c15:spPr>
                        <c15:bubble3D val="0"/>
                      </c15:categoryFilterException>
                      <c15:categoryFilterException>
                        <c15:sqref>Data!$C$12</c15:sqref>
                        <c15:spPr xmlns:c15="http://schemas.microsoft.com/office/drawing/2012/chart">
                          <a:solidFill>
                            <a:schemeClr val="accent5">
                              <a:lumMod val="60000"/>
                            </a:schemeClr>
                          </a:solidFill>
                          <a:ln w="19050">
                            <a:solidFill>
                              <a:schemeClr val="lt1"/>
                            </a:solidFill>
                          </a:ln>
                          <a:effectLst/>
                        </c15:spPr>
                        <c15:bubble3D val="0"/>
                      </c15:categoryFilterException>
                      <c15:categoryFilterException>
                        <c15:sqref>Data!$C$13</c15:sqref>
                        <c15:spPr xmlns:c15="http://schemas.microsoft.com/office/drawing/2012/chart">
                          <a:solidFill>
                            <a:schemeClr val="accent6">
                              <a:lumMod val="60000"/>
                            </a:schemeClr>
                          </a:solidFill>
                          <a:ln w="19050">
                            <a:solidFill>
                              <a:schemeClr val="lt1"/>
                            </a:solidFill>
                          </a:ln>
                          <a:effectLst/>
                        </c15:spPr>
                        <c15:bubble3D val="0"/>
                      </c15:categoryFilterException>
                    </c15:categoryFilterExceptions>
                  </c:ext>
                  <c:ext xmlns:c16="http://schemas.microsoft.com/office/drawing/2014/chart" uri="{C3380CC4-5D6E-409C-BE32-E72D297353CC}">
                    <c16:uniqueId val="{0000000E-1681-4B6C-B887-F270BE92207C}"/>
                  </c:ext>
                </c:extLst>
              </c15:ser>
            </c15:filteredPieSeries>
            <c15:filteredPieSeries>
              <c15:ser>
                <c:idx val="2"/>
                <c:order val="2"/>
                <c:tx>
                  <c:strRef>
                    <c:extLst>
                      <c:ext xmlns:c15="http://schemas.microsoft.com/office/drawing/2012/chart" uri="{02D57815-91ED-43cb-92C2-25804820EDAC}">
                        <c15:formulaRef>
                          <c15:sqref>Data!$D$1</c15:sqref>
                        </c15:formulaRef>
                      </c:ext>
                    </c:extLst>
                    <c:strCache>
                      <c:ptCount val="1"/>
                      <c:pt idx="0">
                        <c:v>2013</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3F72-4090-A3FA-A81ED38BC2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3F72-4090-A3FA-A81ED38BC2F6}"/>
                    </c:ext>
                  </c:extLst>
                </c:dPt>
                <c:cat>
                  <c:strRef>
                    <c:extLst>
                      <c:ext xmlns:c15="http://schemas.microsoft.com/office/drawing/2012/chart" uri="{02D57815-91ED-43cb-92C2-25804820EDAC}">
                        <c15:fullRef>
                          <c15:sqref>Data!$A$2:$A$13</c15:sqref>
                        </c15:fullRef>
                        <c15:formulaRef>
                          <c15:sqref>Data!$A$5:$A$6</c15:sqref>
                        </c15:formulaRef>
                      </c:ext>
                    </c:extLst>
                    <c:strCache>
                      <c:ptCount val="2"/>
                      <c:pt idx="0">
                        <c:v>Crashes with Traffic Fatalities:</c:v>
                      </c:pt>
                      <c:pt idx="1">
                        <c:v>Total Traffic Fatalities</c:v>
                      </c:pt>
                    </c:strCache>
                  </c:strRef>
                </c:cat>
                <c:val>
                  <c:numRef>
                    <c:extLst>
                      <c:ext xmlns:c15="http://schemas.microsoft.com/office/drawing/2012/chart" uri="{02D57815-91ED-43cb-92C2-25804820EDAC}">
                        <c15:fullRef>
                          <c15:sqref>Data!$D$2:$D$13</c15:sqref>
                        </c15:fullRef>
                        <c15:formulaRef>
                          <c15:sqref>Data!$D$5:$D$6</c15:sqref>
                        </c15:formulaRef>
                      </c:ext>
                    </c:extLst>
                    <c:numCache>
                      <c:formatCode>General</c:formatCode>
                      <c:ptCount val="2"/>
                      <c:pt idx="0">
                        <c:v>2224</c:v>
                      </c:pt>
                      <c:pt idx="1">
                        <c:v>2403</c:v>
                      </c:pt>
                    </c:numCache>
                  </c:numRef>
                </c:val>
                <c:extLst xmlns:c15="http://schemas.microsoft.com/office/drawing/2012/chart">
                  <c:ext xmlns:c15="http://schemas.microsoft.com/office/drawing/2012/chart" uri="{02D57815-91ED-43cb-92C2-25804820EDAC}">
                    <c15:categoryFilterExceptions>
                      <c15:categoryFilterException>
                        <c15:sqref>Data!$D$7</c15:sqref>
                        <c15:spPr xmlns:c15="http://schemas.microsoft.com/office/drawing/2012/chart">
                          <a:solidFill>
                            <a:schemeClr val="accent6"/>
                          </a:solidFill>
                          <a:ln w="19050">
                            <a:solidFill>
                              <a:schemeClr val="lt1"/>
                            </a:solidFill>
                          </a:ln>
                          <a:effectLst/>
                        </c15:spPr>
                        <c15:bubble3D val="0"/>
                      </c15:categoryFilterException>
                      <c15:categoryFilterException>
                        <c15:sqref>Data!$D$8</c15:sqref>
                        <c15:spPr xmlns:c15="http://schemas.microsoft.com/office/drawing/2012/chart">
                          <a:solidFill>
                            <a:schemeClr val="accent1">
                              <a:lumMod val="60000"/>
                            </a:schemeClr>
                          </a:solidFill>
                          <a:ln w="19050">
                            <a:solidFill>
                              <a:schemeClr val="lt1"/>
                            </a:solidFill>
                          </a:ln>
                          <a:effectLst/>
                        </c15:spPr>
                        <c15:bubble3D val="0"/>
                      </c15:categoryFilterException>
                      <c15:categoryFilterException>
                        <c15:sqref>Data!$D$12</c15:sqref>
                        <c15:spPr xmlns:c15="http://schemas.microsoft.com/office/drawing/2012/chart">
                          <a:solidFill>
                            <a:schemeClr val="accent5">
                              <a:lumMod val="60000"/>
                            </a:schemeClr>
                          </a:solidFill>
                          <a:ln w="19050">
                            <a:solidFill>
                              <a:schemeClr val="lt1"/>
                            </a:solidFill>
                          </a:ln>
                          <a:effectLst/>
                        </c15:spPr>
                        <c15:bubble3D val="0"/>
                      </c15:categoryFilterException>
                      <c15:categoryFilterException>
                        <c15:sqref>Data!$D$13</c15:sqref>
                        <c15:spPr xmlns:c15="http://schemas.microsoft.com/office/drawing/2012/chart">
                          <a:solidFill>
                            <a:schemeClr val="accent6">
                              <a:lumMod val="60000"/>
                            </a:schemeClr>
                          </a:solidFill>
                          <a:ln w="19050">
                            <a:solidFill>
                              <a:schemeClr val="lt1"/>
                            </a:solidFill>
                          </a:ln>
                          <a:effectLst/>
                        </c15:spPr>
                        <c15:bubble3D val="0"/>
                      </c15:categoryFilterException>
                    </c15:categoryFilterExceptions>
                  </c:ext>
                  <c:ext xmlns:c16="http://schemas.microsoft.com/office/drawing/2014/chart" uri="{C3380CC4-5D6E-409C-BE32-E72D297353CC}">
                    <c16:uniqueId val="{00000013-1681-4B6C-B887-F270BE92207C}"/>
                  </c:ext>
                </c:extLst>
              </c15:ser>
            </c15:filteredPieSeries>
            <c15:filteredPieSeries>
              <c15:ser>
                <c:idx val="3"/>
                <c:order val="3"/>
                <c:tx>
                  <c:strRef>
                    <c:extLst>
                      <c:ext xmlns:c15="http://schemas.microsoft.com/office/drawing/2012/chart" uri="{02D57815-91ED-43cb-92C2-25804820EDAC}">
                        <c15:formulaRef>
                          <c15:sqref>Data!$E$1</c15:sqref>
                        </c15:formulaRef>
                      </c:ext>
                    </c:extLst>
                    <c:strCache>
                      <c:ptCount val="1"/>
                      <c:pt idx="0">
                        <c:v>2014</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1-3F72-4090-A3FA-A81ED38BC2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3F72-4090-A3FA-A81ED38BC2F6}"/>
                    </c:ext>
                  </c:extLst>
                </c:dPt>
                <c:cat>
                  <c:strRef>
                    <c:extLst>
                      <c:ext xmlns:c15="http://schemas.microsoft.com/office/drawing/2012/chart" uri="{02D57815-91ED-43cb-92C2-25804820EDAC}">
                        <c15:fullRef>
                          <c15:sqref>Data!$A$2:$A$13</c15:sqref>
                        </c15:fullRef>
                        <c15:formulaRef>
                          <c15:sqref>Data!$A$5:$A$6</c15:sqref>
                        </c15:formulaRef>
                      </c:ext>
                    </c:extLst>
                    <c:strCache>
                      <c:ptCount val="2"/>
                      <c:pt idx="0">
                        <c:v>Crashes with Traffic Fatalities:</c:v>
                      </c:pt>
                      <c:pt idx="1">
                        <c:v>Total Traffic Fatalities</c:v>
                      </c:pt>
                    </c:strCache>
                  </c:strRef>
                </c:cat>
                <c:val>
                  <c:numRef>
                    <c:extLst>
                      <c:ext xmlns:c15="http://schemas.microsoft.com/office/drawing/2012/chart" uri="{02D57815-91ED-43cb-92C2-25804820EDAC}">
                        <c15:fullRef>
                          <c15:sqref>Data!$E$2:$E$13</c15:sqref>
                        </c15:fullRef>
                        <c15:formulaRef>
                          <c15:sqref>Data!$E$5:$E$6</c15:sqref>
                        </c15:formulaRef>
                      </c:ext>
                    </c:extLst>
                    <c:numCache>
                      <c:formatCode>General</c:formatCode>
                      <c:ptCount val="2"/>
                      <c:pt idx="0">
                        <c:v>2339</c:v>
                      </c:pt>
                      <c:pt idx="1">
                        <c:v>2497</c:v>
                      </c:pt>
                    </c:numCache>
                  </c:numRef>
                </c:val>
                <c:extLst xmlns:c15="http://schemas.microsoft.com/office/drawing/2012/chart">
                  <c:ext xmlns:c15="http://schemas.microsoft.com/office/drawing/2012/chart" uri="{02D57815-91ED-43cb-92C2-25804820EDAC}">
                    <c15:categoryFilterExceptions>
                      <c15:categoryFilterException>
                        <c15:sqref>Data!$E$7</c15:sqref>
                        <c15:spPr xmlns:c15="http://schemas.microsoft.com/office/drawing/2012/chart">
                          <a:solidFill>
                            <a:schemeClr val="accent6"/>
                          </a:solidFill>
                          <a:ln w="19050">
                            <a:solidFill>
                              <a:schemeClr val="lt1"/>
                            </a:solidFill>
                          </a:ln>
                          <a:effectLst/>
                        </c15:spPr>
                        <c15:bubble3D val="0"/>
                      </c15:categoryFilterException>
                      <c15:categoryFilterException>
                        <c15:sqref>Data!$E$8</c15:sqref>
                        <c15:spPr xmlns:c15="http://schemas.microsoft.com/office/drawing/2012/chart">
                          <a:solidFill>
                            <a:schemeClr val="accent1">
                              <a:lumMod val="60000"/>
                            </a:schemeClr>
                          </a:solidFill>
                          <a:ln w="19050">
                            <a:solidFill>
                              <a:schemeClr val="lt1"/>
                            </a:solidFill>
                          </a:ln>
                          <a:effectLst/>
                        </c15:spPr>
                        <c15:bubble3D val="0"/>
                      </c15:categoryFilterException>
                      <c15:categoryFilterException>
                        <c15:sqref>Data!$E$12</c15:sqref>
                        <c15:spPr xmlns:c15="http://schemas.microsoft.com/office/drawing/2012/chart">
                          <a:solidFill>
                            <a:schemeClr val="accent5">
                              <a:lumMod val="60000"/>
                            </a:schemeClr>
                          </a:solidFill>
                          <a:ln w="19050">
                            <a:solidFill>
                              <a:schemeClr val="lt1"/>
                            </a:solidFill>
                          </a:ln>
                          <a:effectLst/>
                        </c15:spPr>
                        <c15:bubble3D val="0"/>
                      </c15:categoryFilterException>
                      <c15:categoryFilterException>
                        <c15:sqref>Data!$E$13</c15:sqref>
                        <c15:spPr xmlns:c15="http://schemas.microsoft.com/office/drawing/2012/chart">
                          <a:solidFill>
                            <a:schemeClr val="accent6">
                              <a:lumMod val="60000"/>
                            </a:schemeClr>
                          </a:solidFill>
                          <a:ln w="19050">
                            <a:solidFill>
                              <a:schemeClr val="lt1"/>
                            </a:solidFill>
                          </a:ln>
                          <a:effectLst/>
                        </c15:spPr>
                        <c15:bubble3D val="0"/>
                      </c15:categoryFilterException>
                    </c15:categoryFilterExceptions>
                  </c:ext>
                  <c:ext xmlns:c16="http://schemas.microsoft.com/office/drawing/2014/chart" uri="{C3380CC4-5D6E-409C-BE32-E72D297353CC}">
                    <c16:uniqueId val="{00000018-1681-4B6C-B887-F270BE92207C}"/>
                  </c:ext>
                </c:extLst>
              </c15:ser>
            </c15:filteredPieSeries>
            <c15:filteredPieSeries>
              <c15:ser>
                <c:idx val="4"/>
                <c:order val="4"/>
                <c:tx>
                  <c:strRef>
                    <c:extLst>
                      <c:ext xmlns:c15="http://schemas.microsoft.com/office/drawing/2012/chart" uri="{02D57815-91ED-43cb-92C2-25804820EDAC}">
                        <c15:formulaRef>
                          <c15:sqref>Data!$F$1</c15:sqref>
                        </c15:formulaRef>
                      </c:ext>
                    </c:extLst>
                    <c:strCache>
                      <c:ptCount val="1"/>
                      <c:pt idx="0">
                        <c:v>2015</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3F72-4090-A3FA-A81ED38BC2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3F72-4090-A3FA-A81ED38BC2F6}"/>
                    </c:ext>
                  </c:extLst>
                </c:dPt>
                <c:cat>
                  <c:strRef>
                    <c:extLst>
                      <c:ext xmlns:c15="http://schemas.microsoft.com/office/drawing/2012/chart" uri="{02D57815-91ED-43cb-92C2-25804820EDAC}">
                        <c15:fullRef>
                          <c15:sqref>Data!$A$2:$A$13</c15:sqref>
                        </c15:fullRef>
                        <c15:formulaRef>
                          <c15:sqref>Data!$A$5:$A$6</c15:sqref>
                        </c15:formulaRef>
                      </c:ext>
                    </c:extLst>
                    <c:strCache>
                      <c:ptCount val="2"/>
                      <c:pt idx="0">
                        <c:v>Crashes with Traffic Fatalities:</c:v>
                      </c:pt>
                      <c:pt idx="1">
                        <c:v>Total Traffic Fatalities</c:v>
                      </c:pt>
                    </c:strCache>
                  </c:strRef>
                </c:cat>
                <c:val>
                  <c:numRef>
                    <c:extLst>
                      <c:ext xmlns:c15="http://schemas.microsoft.com/office/drawing/2012/chart" uri="{02D57815-91ED-43cb-92C2-25804820EDAC}">
                        <c15:fullRef>
                          <c15:sqref>Data!$F$2:$F$13</c15:sqref>
                        </c15:fullRef>
                        <c15:formulaRef>
                          <c15:sqref>Data!$F$5:$F$6</c15:sqref>
                        </c15:formulaRef>
                      </c:ext>
                    </c:extLst>
                    <c:numCache>
                      <c:formatCode>General</c:formatCode>
                      <c:ptCount val="2"/>
                      <c:pt idx="0">
                        <c:v>2670</c:v>
                      </c:pt>
                      <c:pt idx="1">
                        <c:v>2898</c:v>
                      </c:pt>
                    </c:numCache>
                  </c:numRef>
                </c:val>
                <c:extLst xmlns:c15="http://schemas.microsoft.com/office/drawing/2012/chart">
                  <c:ext xmlns:c15="http://schemas.microsoft.com/office/drawing/2012/chart" uri="{02D57815-91ED-43cb-92C2-25804820EDAC}">
                    <c15:categoryFilterExceptions>
                      <c15:categoryFilterException>
                        <c15:sqref>Data!$F$7</c15:sqref>
                        <c15:spPr xmlns:c15="http://schemas.microsoft.com/office/drawing/2012/chart">
                          <a:solidFill>
                            <a:schemeClr val="accent6"/>
                          </a:solidFill>
                          <a:ln w="19050">
                            <a:solidFill>
                              <a:schemeClr val="lt1"/>
                            </a:solidFill>
                          </a:ln>
                          <a:effectLst/>
                        </c15:spPr>
                        <c15:bubble3D val="0"/>
                      </c15:categoryFilterException>
                      <c15:categoryFilterException>
                        <c15:sqref>Data!$F$8</c15:sqref>
                        <c15:spPr xmlns:c15="http://schemas.microsoft.com/office/drawing/2012/chart">
                          <a:solidFill>
                            <a:schemeClr val="accent1">
                              <a:lumMod val="60000"/>
                            </a:schemeClr>
                          </a:solidFill>
                          <a:ln w="19050">
                            <a:solidFill>
                              <a:schemeClr val="lt1"/>
                            </a:solidFill>
                          </a:ln>
                          <a:effectLst/>
                        </c15:spPr>
                        <c15:bubble3D val="0"/>
                      </c15:categoryFilterException>
                      <c15:categoryFilterException>
                        <c15:sqref>Data!$F$12</c15:sqref>
                        <c15:spPr xmlns:c15="http://schemas.microsoft.com/office/drawing/2012/chart">
                          <a:solidFill>
                            <a:schemeClr val="accent5">
                              <a:lumMod val="60000"/>
                            </a:schemeClr>
                          </a:solidFill>
                          <a:ln w="19050">
                            <a:solidFill>
                              <a:schemeClr val="lt1"/>
                            </a:solidFill>
                          </a:ln>
                          <a:effectLst/>
                        </c15:spPr>
                        <c15:bubble3D val="0"/>
                      </c15:categoryFilterException>
                      <c15:categoryFilterException>
                        <c15:sqref>Data!$F$13</c15:sqref>
                        <c15:spPr xmlns:c15="http://schemas.microsoft.com/office/drawing/2012/chart">
                          <a:solidFill>
                            <a:schemeClr val="accent6">
                              <a:lumMod val="60000"/>
                            </a:schemeClr>
                          </a:solidFill>
                          <a:ln w="19050">
                            <a:solidFill>
                              <a:schemeClr val="lt1"/>
                            </a:solidFill>
                          </a:ln>
                          <a:effectLst/>
                        </c15:spPr>
                        <c15:bubble3D val="0"/>
                      </c15:categoryFilterException>
                    </c15:categoryFilterExceptions>
                  </c:ext>
                  <c:ext xmlns:c16="http://schemas.microsoft.com/office/drawing/2014/chart" uri="{C3380CC4-5D6E-409C-BE32-E72D297353CC}">
                    <c16:uniqueId val="{0000001D-1681-4B6C-B887-F270BE92207C}"/>
                  </c:ext>
                </c:extLst>
              </c15:ser>
            </c15:filteredPieSeries>
            <c15:filteredPieSeries>
              <c15:ser>
                <c:idx val="6"/>
                <c:order val="6"/>
                <c:tx>
                  <c:strRef>
                    <c:extLst>
                      <c:ext xmlns:c15="http://schemas.microsoft.com/office/drawing/2012/chart" uri="{02D57815-91ED-43cb-92C2-25804820EDAC}">
                        <c15:formulaRef>
                          <c15:sqref>Data!$H$1</c15:sqref>
                        </c15:formulaRef>
                      </c:ext>
                    </c:extLst>
                    <c:strCache>
                      <c:ptCount val="1"/>
                      <c:pt idx="0">
                        <c:v>Difference 2015 &amp;2011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9-E198-4614-B903-9ED585207D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B-E198-4614-B903-9ED585207DAB}"/>
                    </c:ext>
                  </c:extLst>
                </c:dPt>
                <c:cat>
                  <c:strRef>
                    <c:extLst>
                      <c:ext xmlns:c15="http://schemas.microsoft.com/office/drawing/2012/chart" uri="{02D57815-91ED-43cb-92C2-25804820EDAC}">
                        <c15:fullRef>
                          <c15:sqref>Data!$A$2:$A$13</c15:sqref>
                        </c15:fullRef>
                        <c15:formulaRef>
                          <c15:sqref>Data!$A$5:$A$6</c15:sqref>
                        </c15:formulaRef>
                      </c:ext>
                    </c:extLst>
                    <c:strCache>
                      <c:ptCount val="2"/>
                      <c:pt idx="0">
                        <c:v>Crashes with Traffic Fatalities:</c:v>
                      </c:pt>
                      <c:pt idx="1">
                        <c:v>Total Traffic Fatalities</c:v>
                      </c:pt>
                    </c:strCache>
                  </c:strRef>
                </c:cat>
                <c:val>
                  <c:numRef>
                    <c:extLst>
                      <c:ext xmlns:c15="http://schemas.microsoft.com/office/drawing/2012/chart" uri="{02D57815-91ED-43cb-92C2-25804820EDAC}">
                        <c15:fullRef>
                          <c15:sqref>Data!$H$2:$H$13</c15:sqref>
                        </c15:fullRef>
                        <c15:formulaRef>
                          <c15:sqref>Data!$H$5:$H$6</c15:sqref>
                        </c15:formulaRef>
                      </c:ext>
                    </c:extLst>
                    <c:numCache>
                      <c:formatCode>General</c:formatCode>
                      <c:ptCount val="2"/>
                      <c:pt idx="0">
                        <c:v>455</c:v>
                      </c:pt>
                      <c:pt idx="1">
                        <c:v>494</c:v>
                      </c:pt>
                    </c:numCache>
                  </c:numRef>
                </c:val>
                <c:extLst xmlns:c15="http://schemas.microsoft.com/office/drawing/2012/chart">
                  <c:ext xmlns:c15="http://schemas.microsoft.com/office/drawing/2012/chart" uri="{02D57815-91ED-43cb-92C2-25804820EDAC}">
                    <c15:categoryFilterExceptions>
                      <c15:categoryFilterException>
                        <c15:sqref>Data!$H$13</c15:sqref>
                        <c15:spPr xmlns:c15="http://schemas.microsoft.com/office/drawing/2012/chart">
                          <a:solidFill>
                            <a:schemeClr val="accent6">
                              <a:lumMod val="60000"/>
                            </a:schemeClr>
                          </a:solidFill>
                          <a:ln w="19050">
                            <a:solidFill>
                              <a:schemeClr val="lt1"/>
                            </a:solidFill>
                          </a:ln>
                          <a:effectLst/>
                        </c15:spPr>
                        <c15:bubble3D val="0"/>
                      </c15:categoryFilterException>
                    </c15:categoryFilterExceptions>
                  </c:ext>
                  <c:ext xmlns:c16="http://schemas.microsoft.com/office/drawing/2014/chart" uri="{C3380CC4-5D6E-409C-BE32-E72D297353CC}">
                    <c16:uniqueId val="{00000045-3F72-4090-A3FA-A81ED38BC2F6}"/>
                  </c:ext>
                </c:extLst>
              </c15:ser>
            </c15:filteredPieSeries>
            <c15:filteredPieSeries>
              <c15:ser>
                <c:idx val="7"/>
                <c:order val="7"/>
                <c:tx>
                  <c:strRef>
                    <c:extLst>
                      <c:ext xmlns:c15="http://schemas.microsoft.com/office/drawing/2012/chart" uri="{02D57815-91ED-43cb-92C2-25804820EDAC}">
                        <c15:formulaRef>
                          <c15:sqref>Data!$I$1</c15:sqref>
                        </c15:formulaRef>
                      </c:ext>
                    </c:extLst>
                    <c:strCache>
                      <c:ptCount val="1"/>
                      <c:pt idx="0">
                        <c:v>Ratio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D-E198-4614-B903-9ED585207D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F-E198-4614-B903-9ED585207DAB}"/>
                    </c:ext>
                  </c:extLst>
                </c:dPt>
                <c:cat>
                  <c:strRef>
                    <c:extLst>
                      <c:ext xmlns:c15="http://schemas.microsoft.com/office/drawing/2012/chart" uri="{02D57815-91ED-43cb-92C2-25804820EDAC}">
                        <c15:fullRef>
                          <c15:sqref>Data!$A$2:$A$13</c15:sqref>
                        </c15:fullRef>
                        <c15:formulaRef>
                          <c15:sqref>Data!$A$5:$A$6</c15:sqref>
                        </c15:formulaRef>
                      </c:ext>
                    </c:extLst>
                    <c:strCache>
                      <c:ptCount val="2"/>
                      <c:pt idx="0">
                        <c:v>Crashes with Traffic Fatalities:</c:v>
                      </c:pt>
                      <c:pt idx="1">
                        <c:v>Total Traffic Fatalities</c:v>
                      </c:pt>
                    </c:strCache>
                  </c:strRef>
                </c:cat>
                <c:val>
                  <c:numRef>
                    <c:extLst>
                      <c:ext xmlns:c15="http://schemas.microsoft.com/office/drawing/2012/chart" uri="{02D57815-91ED-43cb-92C2-25804820EDAC}">
                        <c15:fullRef>
                          <c15:sqref>Data!$I$2:$I$13</c15:sqref>
                        </c15:fullRef>
                        <c15:formulaRef>
                          <c15:sqref>Data!$I$5:$I$6</c15:sqref>
                        </c15:formulaRef>
                      </c:ext>
                    </c:extLst>
                    <c:numCache>
                      <c:formatCode>0.00</c:formatCode>
                      <c:ptCount val="2"/>
                      <c:pt idx="0">
                        <c:v>20.541760722347629</c:v>
                      </c:pt>
                      <c:pt idx="1">
                        <c:v>20.549084858569053</c:v>
                      </c:pt>
                    </c:numCache>
                  </c:numRef>
                </c:val>
                <c:extLst xmlns:c15="http://schemas.microsoft.com/office/drawing/2012/chart">
                  <c:ext xmlns:c15="http://schemas.microsoft.com/office/drawing/2012/chart" uri="{02D57815-91ED-43cb-92C2-25804820EDAC}">
                    <c15:categoryFilterExceptions>
                      <c15:categoryFilterException>
                        <c15:sqref>Data!$I$13</c15:sqref>
                        <c15:spPr xmlns:c15="http://schemas.microsoft.com/office/drawing/2012/chart">
                          <a:solidFill>
                            <a:schemeClr val="accent6">
                              <a:lumMod val="60000"/>
                            </a:schemeClr>
                          </a:solidFill>
                          <a:ln w="19050">
                            <a:solidFill>
                              <a:schemeClr val="lt1"/>
                            </a:solidFill>
                          </a:ln>
                          <a:effectLst/>
                        </c15:spPr>
                        <c15:bubble3D val="0"/>
                      </c15:categoryFilterException>
                    </c15:categoryFilterExceptions>
                  </c:ext>
                  <c:ext xmlns:c16="http://schemas.microsoft.com/office/drawing/2014/chart" uri="{C3380CC4-5D6E-409C-BE32-E72D297353CC}">
                    <c16:uniqueId val="{00000046-3F72-4090-A3FA-A81ED38BC2F6}"/>
                  </c:ext>
                </c:extLst>
              </c15:ser>
            </c15:filteredPieSeries>
            <c15:filteredPieSeries>
              <c15:ser>
                <c:idx val="8"/>
                <c:order val="8"/>
                <c:tx>
                  <c:strRef>
                    <c:extLst>
                      <c:ext xmlns:c15="http://schemas.microsoft.com/office/drawing/2012/chart" uri="{02D57815-91ED-43cb-92C2-25804820EDAC}">
                        <c15:formulaRef>
                          <c15:sqref>Data!$J$1</c15:sqref>
                        </c15:formulaRef>
                      </c:ext>
                    </c:extLst>
                    <c:strCache>
                      <c:ptCount val="1"/>
                      <c:pt idx="0">
                        <c:v>Sparklines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1-E198-4614-B903-9ED585207D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3-E198-4614-B903-9ED585207DAB}"/>
                    </c:ext>
                  </c:extLst>
                </c:dPt>
                <c:cat>
                  <c:strRef>
                    <c:extLst>
                      <c:ext xmlns:c15="http://schemas.microsoft.com/office/drawing/2012/chart" uri="{02D57815-91ED-43cb-92C2-25804820EDAC}">
                        <c15:fullRef>
                          <c15:sqref>Data!$A$2:$A$13</c15:sqref>
                        </c15:fullRef>
                        <c15:formulaRef>
                          <c15:sqref>Data!$A$5:$A$6</c15:sqref>
                        </c15:formulaRef>
                      </c:ext>
                    </c:extLst>
                    <c:strCache>
                      <c:ptCount val="2"/>
                      <c:pt idx="0">
                        <c:v>Crashes with Traffic Fatalities:</c:v>
                      </c:pt>
                      <c:pt idx="1">
                        <c:v>Total Traffic Fatalities</c:v>
                      </c:pt>
                    </c:strCache>
                  </c:strRef>
                </c:cat>
                <c:val>
                  <c:numRef>
                    <c:extLst>
                      <c:ext xmlns:c15="http://schemas.microsoft.com/office/drawing/2012/chart" uri="{02D57815-91ED-43cb-92C2-25804820EDAC}">
                        <c15:fullRef>
                          <c15:sqref>Data!$J$2:$J$13</c15:sqref>
                        </c15:fullRef>
                        <c15:formulaRef>
                          <c15:sqref>Data!$J$5:$J$6</c15:sqref>
                        </c15:formulaRef>
                      </c:ext>
                    </c:extLst>
                    <c:numCache>
                      <c:formatCode>General</c:formatCode>
                      <c:ptCount val="2"/>
                    </c:numCache>
                  </c:numRef>
                </c:val>
                <c:extLst xmlns:c15="http://schemas.microsoft.com/office/drawing/2012/chart">
                  <c:ext xmlns:c15="http://schemas.microsoft.com/office/drawing/2012/chart" uri="{02D57815-91ED-43cb-92C2-25804820EDAC}">
                    <c15:categoryFilterExceptions>
                      <c15:categoryFilterException>
                        <c15:sqref>Data!$J$13</c15:sqref>
                        <c15:spPr xmlns:c15="http://schemas.microsoft.com/office/drawing/2012/chart">
                          <a:solidFill>
                            <a:schemeClr val="accent6">
                              <a:lumMod val="60000"/>
                            </a:schemeClr>
                          </a:solidFill>
                          <a:ln w="19050">
                            <a:solidFill>
                              <a:schemeClr val="lt1"/>
                            </a:solidFill>
                          </a:ln>
                          <a:effectLst/>
                        </c15:spPr>
                        <c15:bubble3D val="0"/>
                      </c15:categoryFilterException>
                    </c15:categoryFilterExceptions>
                  </c:ext>
                  <c:ext xmlns:c16="http://schemas.microsoft.com/office/drawing/2014/chart" uri="{C3380CC4-5D6E-409C-BE32-E72D297353CC}">
                    <c16:uniqueId val="{00000047-3F72-4090-A3FA-A81ED38BC2F6}"/>
                  </c:ext>
                </c:extLst>
              </c15:ser>
            </c15:filteredPieSeries>
          </c:ext>
        </c:extLst>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Percentage Growth Across Categories (2011–2015)</a:t>
            </a:r>
            <a:endParaRPr lang="en-US" b="1"/>
          </a:p>
        </c:rich>
      </c:tx>
      <c:layout>
        <c:manualLayout>
          <c:xMode val="edge"/>
          <c:yMode val="edge"/>
          <c:x val="0.12840902462949705"/>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0580529706513959"/>
          <c:y val="0.24442610924564501"/>
          <c:w val="0.75715766589782341"/>
          <c:h val="0.25478583539096084"/>
        </c:manualLayout>
      </c:layout>
      <c:barChart>
        <c:barDir val="col"/>
        <c:grouping val="clustered"/>
        <c:varyColors val="0"/>
        <c:ser>
          <c:idx val="7"/>
          <c:order val="7"/>
          <c:tx>
            <c:strRef>
              <c:f>Data!$I$1</c:f>
              <c:strCache>
                <c:ptCount val="1"/>
                <c:pt idx="0">
                  <c:v>Ratio %</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Data!$A$2:$A$13</c:f>
              <c:strCache>
                <c:ptCount val="12"/>
                <c:pt idx="0">
                  <c:v>Total Crashes:</c:v>
                </c:pt>
                <c:pt idx="1">
                  <c:v>Injury Crashes:</c:v>
                </c:pt>
                <c:pt idx="2">
                  <c:v>Total Injuries:</c:v>
                </c:pt>
                <c:pt idx="3">
                  <c:v>Crashes with Traffic Fatalities:</c:v>
                </c:pt>
                <c:pt idx="4">
                  <c:v>Total Traffic Fatalities</c:v>
                </c:pt>
                <c:pt idx="5">
                  <c:v>Commercial Vehicle Crashes:</c:v>
                </c:pt>
                <c:pt idx="6">
                  <c:v>Commercial Vehicles:</c:v>
                </c:pt>
                <c:pt idx="7">
                  <c:v>Property Damage Crashes:</c:v>
                </c:pt>
                <c:pt idx="8">
                  <c:v>Pedestrian Crashes:</c:v>
                </c:pt>
                <c:pt idx="9">
                  <c:v>Pedestrian Fatalities:</c:v>
                </c:pt>
                <c:pt idx="10">
                  <c:v>Bicycle Crashes:</c:v>
                </c:pt>
                <c:pt idx="11">
                  <c:v>Bicycle Fatalities:</c:v>
                </c:pt>
              </c:strCache>
            </c:strRef>
          </c:cat>
          <c:val>
            <c:numRef>
              <c:f>Data!$I$2:$I$13</c:f>
              <c:numCache>
                <c:formatCode>0.00</c:formatCode>
                <c:ptCount val="12"/>
                <c:pt idx="0">
                  <c:v>63.170455041228571</c:v>
                </c:pt>
                <c:pt idx="1">
                  <c:v>35.214164205252338</c:v>
                </c:pt>
                <c:pt idx="2">
                  <c:v>33.637167801238412</c:v>
                </c:pt>
                <c:pt idx="3">
                  <c:v>20.541760722347629</c:v>
                </c:pt>
                <c:pt idx="4">
                  <c:v>20.549084858569053</c:v>
                </c:pt>
                <c:pt idx="5">
                  <c:v>233.3536957849725</c:v>
                </c:pt>
                <c:pt idx="6">
                  <c:v>237.9214174390944</c:v>
                </c:pt>
                <c:pt idx="7">
                  <c:v>94.387989488965246</c:v>
                </c:pt>
                <c:pt idx="8">
                  <c:v>28.796480272495035</c:v>
                </c:pt>
                <c:pt idx="9">
                  <c:v>22.289156626506024</c:v>
                </c:pt>
                <c:pt idx="10">
                  <c:v>41.234862021044272</c:v>
                </c:pt>
                <c:pt idx="11">
                  <c:v>15.833333333333332</c:v>
                </c:pt>
              </c:numCache>
            </c:numRef>
          </c:val>
          <c:extLst>
            <c:ext xmlns:c16="http://schemas.microsoft.com/office/drawing/2014/chart" uri="{C3380CC4-5D6E-409C-BE32-E72D297353CC}">
              <c16:uniqueId val="{00000000-525E-48FC-B1DE-1211359FA256}"/>
            </c:ext>
          </c:extLst>
        </c:ser>
        <c:dLbls>
          <c:dLblPos val="outEnd"/>
          <c:showLegendKey val="0"/>
          <c:showVal val="1"/>
          <c:showCatName val="0"/>
          <c:showSerName val="0"/>
          <c:showPercent val="0"/>
          <c:showBubbleSize val="0"/>
        </c:dLbls>
        <c:gapWidth val="219"/>
        <c:overlap val="-27"/>
        <c:axId val="1444161856"/>
        <c:axId val="1444160416"/>
        <c:extLst>
          <c:ext xmlns:c15="http://schemas.microsoft.com/office/drawing/2012/chart" uri="{02D57815-91ED-43cb-92C2-25804820EDAC}">
            <c15:filteredBarSeries>
              <c15:ser>
                <c:idx val="0"/>
                <c:order val="0"/>
                <c:tx>
                  <c:strRef>
                    <c:extLst>
                      <c:ext uri="{02D57815-91ED-43cb-92C2-25804820EDAC}">
                        <c15:formulaRef>
                          <c15:sqref>Data!$B$1</c15:sqref>
                        </c15:formulaRef>
                      </c:ext>
                    </c:extLst>
                    <c:strCache>
                      <c:ptCount val="1"/>
                      <c:pt idx="0">
                        <c:v>2011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Data!$A$2:$A$13</c15:sqref>
                        </c15:formulaRef>
                      </c:ext>
                    </c:extLst>
                    <c:strCache>
                      <c:ptCount val="12"/>
                      <c:pt idx="0">
                        <c:v>Total Crashes:</c:v>
                      </c:pt>
                      <c:pt idx="1">
                        <c:v>Injury Crashes:</c:v>
                      </c:pt>
                      <c:pt idx="2">
                        <c:v>Total Injuries:</c:v>
                      </c:pt>
                      <c:pt idx="3">
                        <c:v>Crashes with Traffic Fatalities:</c:v>
                      </c:pt>
                      <c:pt idx="4">
                        <c:v>Total Traffic Fatalities</c:v>
                      </c:pt>
                      <c:pt idx="5">
                        <c:v>Commercial Vehicle Crashes:</c:v>
                      </c:pt>
                      <c:pt idx="6">
                        <c:v>Commercial Vehicles:</c:v>
                      </c:pt>
                      <c:pt idx="7">
                        <c:v>Property Damage Crashes:</c:v>
                      </c:pt>
                      <c:pt idx="8">
                        <c:v>Pedestrian Crashes:</c:v>
                      </c:pt>
                      <c:pt idx="9">
                        <c:v>Pedestrian Fatalities:</c:v>
                      </c:pt>
                      <c:pt idx="10">
                        <c:v>Bicycle Crashes:</c:v>
                      </c:pt>
                      <c:pt idx="11">
                        <c:v>Bicycle Fatalities:</c:v>
                      </c:pt>
                    </c:strCache>
                  </c:strRef>
                </c:cat>
                <c:val>
                  <c:numRef>
                    <c:extLst>
                      <c:ext uri="{02D57815-91ED-43cb-92C2-25804820EDAC}">
                        <c15:formulaRef>
                          <c15:sqref>Data!$B$2:$B$13</c15:sqref>
                        </c15:formulaRef>
                      </c:ext>
                    </c:extLst>
                    <c:numCache>
                      <c:formatCode>General</c:formatCode>
                      <c:ptCount val="12"/>
                      <c:pt idx="0">
                        <c:v>229210</c:v>
                      </c:pt>
                      <c:pt idx="1">
                        <c:v>118157</c:v>
                      </c:pt>
                      <c:pt idx="2">
                        <c:v>182007</c:v>
                      </c:pt>
                      <c:pt idx="3">
                        <c:v>2215</c:v>
                      </c:pt>
                      <c:pt idx="4">
                        <c:v>2404</c:v>
                      </c:pt>
                      <c:pt idx="5">
                        <c:v>11459</c:v>
                      </c:pt>
                      <c:pt idx="6">
                        <c:v>12191</c:v>
                      </c:pt>
                      <c:pt idx="7">
                        <c:v>108838</c:v>
                      </c:pt>
                      <c:pt idx="8">
                        <c:v>7046</c:v>
                      </c:pt>
                      <c:pt idx="9">
                        <c:v>498</c:v>
                      </c:pt>
                      <c:pt idx="10">
                        <c:v>5037</c:v>
                      </c:pt>
                      <c:pt idx="11">
                        <c:v>120</c:v>
                      </c:pt>
                    </c:numCache>
                  </c:numRef>
                </c:val>
                <c:extLst>
                  <c:ext xmlns:c16="http://schemas.microsoft.com/office/drawing/2014/chart" uri="{C3380CC4-5D6E-409C-BE32-E72D297353CC}">
                    <c16:uniqueId val="{00000001-525E-48FC-B1DE-1211359FA256}"/>
                  </c:ext>
                </c:extLst>
              </c15:ser>
            </c15:filteredBarSeries>
            <c15:filteredBarSeries>
              <c15:ser>
                <c:idx val="1"/>
                <c:order val="1"/>
                <c:tx>
                  <c:strRef>
                    <c:extLst>
                      <c:ext xmlns:c15="http://schemas.microsoft.com/office/drawing/2012/chart" uri="{02D57815-91ED-43cb-92C2-25804820EDAC}">
                        <c15:formulaRef>
                          <c15:sqref>Data!$C$1</c15:sqref>
                        </c15:formulaRef>
                      </c:ext>
                    </c:extLst>
                    <c:strCache>
                      <c:ptCount val="1"/>
                      <c:pt idx="0">
                        <c:v>2012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Data!$A$2:$A$13</c15:sqref>
                        </c15:formulaRef>
                      </c:ext>
                    </c:extLst>
                    <c:strCache>
                      <c:ptCount val="12"/>
                      <c:pt idx="0">
                        <c:v>Total Crashes:</c:v>
                      </c:pt>
                      <c:pt idx="1">
                        <c:v>Injury Crashes:</c:v>
                      </c:pt>
                      <c:pt idx="2">
                        <c:v>Total Injuries:</c:v>
                      </c:pt>
                      <c:pt idx="3">
                        <c:v>Crashes with Traffic Fatalities:</c:v>
                      </c:pt>
                      <c:pt idx="4">
                        <c:v>Total Traffic Fatalities</c:v>
                      </c:pt>
                      <c:pt idx="5">
                        <c:v>Commercial Vehicle Crashes:</c:v>
                      </c:pt>
                      <c:pt idx="6">
                        <c:v>Commercial Vehicles:</c:v>
                      </c:pt>
                      <c:pt idx="7">
                        <c:v>Property Damage Crashes:</c:v>
                      </c:pt>
                      <c:pt idx="8">
                        <c:v>Pedestrian Crashes:</c:v>
                      </c:pt>
                      <c:pt idx="9">
                        <c:v>Pedestrian Fatalities:</c:v>
                      </c:pt>
                      <c:pt idx="10">
                        <c:v>Bicycle Crashes:</c:v>
                      </c:pt>
                      <c:pt idx="11">
                        <c:v>Bicycle Fatalities:</c:v>
                      </c:pt>
                    </c:strCache>
                  </c:strRef>
                </c:cat>
                <c:val>
                  <c:numRef>
                    <c:extLst>
                      <c:ext xmlns:c15="http://schemas.microsoft.com/office/drawing/2012/chart" uri="{02D57815-91ED-43cb-92C2-25804820EDAC}">
                        <c15:formulaRef>
                          <c15:sqref>Data!$C$2:$C$13</c15:sqref>
                        </c15:formulaRef>
                      </c:ext>
                    </c:extLst>
                    <c:numCache>
                      <c:formatCode>General</c:formatCode>
                      <c:ptCount val="12"/>
                      <c:pt idx="0">
                        <c:v>283367</c:v>
                      </c:pt>
                      <c:pt idx="1">
                        <c:v>130333</c:v>
                      </c:pt>
                      <c:pt idx="2">
                        <c:v>198484</c:v>
                      </c:pt>
                      <c:pt idx="3">
                        <c:v>2249</c:v>
                      </c:pt>
                      <c:pt idx="4">
                        <c:v>2420</c:v>
                      </c:pt>
                      <c:pt idx="5">
                        <c:v>29473</c:v>
                      </c:pt>
                      <c:pt idx="6">
                        <c:v>31639</c:v>
                      </c:pt>
                      <c:pt idx="7">
                        <c:v>150785</c:v>
                      </c:pt>
                      <c:pt idx="8">
                        <c:v>8280</c:v>
                      </c:pt>
                      <c:pt idx="9">
                        <c:v>476</c:v>
                      </c:pt>
                      <c:pt idx="10">
                        <c:v>6442</c:v>
                      </c:pt>
                      <c:pt idx="11">
                        <c:v>117</c:v>
                      </c:pt>
                    </c:numCache>
                  </c:numRef>
                </c:val>
                <c:extLst xmlns:c15="http://schemas.microsoft.com/office/drawing/2012/chart">
                  <c:ext xmlns:c16="http://schemas.microsoft.com/office/drawing/2014/chart" uri="{C3380CC4-5D6E-409C-BE32-E72D297353CC}">
                    <c16:uniqueId val="{00000002-525E-48FC-B1DE-1211359FA256}"/>
                  </c:ext>
                </c:extLst>
              </c15:ser>
            </c15:filteredBarSeries>
            <c15:filteredBarSeries>
              <c15:ser>
                <c:idx val="2"/>
                <c:order val="2"/>
                <c:tx>
                  <c:strRef>
                    <c:extLst>
                      <c:ext xmlns:c15="http://schemas.microsoft.com/office/drawing/2012/chart" uri="{02D57815-91ED-43cb-92C2-25804820EDAC}">
                        <c15:formulaRef>
                          <c15:sqref>Data!$D$1</c15:sqref>
                        </c15:formulaRef>
                      </c:ext>
                    </c:extLst>
                    <c:strCache>
                      <c:ptCount val="1"/>
                      <c:pt idx="0">
                        <c:v>2013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Data!$A$2:$A$13</c15:sqref>
                        </c15:formulaRef>
                      </c:ext>
                    </c:extLst>
                    <c:strCache>
                      <c:ptCount val="12"/>
                      <c:pt idx="0">
                        <c:v>Total Crashes:</c:v>
                      </c:pt>
                      <c:pt idx="1">
                        <c:v>Injury Crashes:</c:v>
                      </c:pt>
                      <c:pt idx="2">
                        <c:v>Total Injuries:</c:v>
                      </c:pt>
                      <c:pt idx="3">
                        <c:v>Crashes with Traffic Fatalities:</c:v>
                      </c:pt>
                      <c:pt idx="4">
                        <c:v>Total Traffic Fatalities</c:v>
                      </c:pt>
                      <c:pt idx="5">
                        <c:v>Commercial Vehicle Crashes:</c:v>
                      </c:pt>
                      <c:pt idx="6">
                        <c:v>Commercial Vehicles:</c:v>
                      </c:pt>
                      <c:pt idx="7">
                        <c:v>Property Damage Crashes:</c:v>
                      </c:pt>
                      <c:pt idx="8">
                        <c:v>Pedestrian Crashes:</c:v>
                      </c:pt>
                      <c:pt idx="9">
                        <c:v>Pedestrian Fatalities:</c:v>
                      </c:pt>
                      <c:pt idx="10">
                        <c:v>Bicycle Crashes:</c:v>
                      </c:pt>
                      <c:pt idx="11">
                        <c:v>Bicycle Fatalities:</c:v>
                      </c:pt>
                    </c:strCache>
                  </c:strRef>
                </c:cat>
                <c:val>
                  <c:numRef>
                    <c:extLst>
                      <c:ext xmlns:c15="http://schemas.microsoft.com/office/drawing/2012/chart" uri="{02D57815-91ED-43cb-92C2-25804820EDAC}">
                        <c15:formulaRef>
                          <c15:sqref>Data!$D$2:$D$13</c15:sqref>
                        </c15:formulaRef>
                      </c:ext>
                    </c:extLst>
                    <c:numCache>
                      <c:formatCode>General</c:formatCode>
                      <c:ptCount val="12"/>
                      <c:pt idx="0">
                        <c:v>317197</c:v>
                      </c:pt>
                      <c:pt idx="1">
                        <c:v>140204</c:v>
                      </c:pt>
                      <c:pt idx="2">
                        <c:v>211085</c:v>
                      </c:pt>
                      <c:pt idx="3">
                        <c:v>2224</c:v>
                      </c:pt>
                      <c:pt idx="4">
                        <c:v>2403</c:v>
                      </c:pt>
                      <c:pt idx="5">
                        <c:v>32091</c:v>
                      </c:pt>
                      <c:pt idx="6">
                        <c:v>34840</c:v>
                      </c:pt>
                      <c:pt idx="7">
                        <c:v>174769</c:v>
                      </c:pt>
                      <c:pt idx="8">
                        <c:v>8421</c:v>
                      </c:pt>
                      <c:pt idx="9">
                        <c:v>498</c:v>
                      </c:pt>
                      <c:pt idx="10">
                        <c:v>6974</c:v>
                      </c:pt>
                      <c:pt idx="11">
                        <c:v>135</c:v>
                      </c:pt>
                    </c:numCache>
                  </c:numRef>
                </c:val>
                <c:extLst xmlns:c15="http://schemas.microsoft.com/office/drawing/2012/chart">
                  <c:ext xmlns:c16="http://schemas.microsoft.com/office/drawing/2014/chart" uri="{C3380CC4-5D6E-409C-BE32-E72D297353CC}">
                    <c16:uniqueId val="{00000003-525E-48FC-B1DE-1211359FA256}"/>
                  </c:ext>
                </c:extLst>
              </c15:ser>
            </c15:filteredBarSeries>
            <c15:filteredBarSeries>
              <c15:ser>
                <c:idx val="3"/>
                <c:order val="3"/>
                <c:tx>
                  <c:strRef>
                    <c:extLst>
                      <c:ext xmlns:c15="http://schemas.microsoft.com/office/drawing/2012/chart" uri="{02D57815-91ED-43cb-92C2-25804820EDAC}">
                        <c15:formulaRef>
                          <c15:sqref>Data!$E$1</c15:sqref>
                        </c15:formulaRef>
                      </c:ext>
                    </c:extLst>
                    <c:strCache>
                      <c:ptCount val="1"/>
                      <c:pt idx="0">
                        <c:v>2014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Data!$A$2:$A$13</c15:sqref>
                        </c15:formulaRef>
                      </c:ext>
                    </c:extLst>
                    <c:strCache>
                      <c:ptCount val="12"/>
                      <c:pt idx="0">
                        <c:v>Total Crashes:</c:v>
                      </c:pt>
                      <c:pt idx="1">
                        <c:v>Injury Crashes:</c:v>
                      </c:pt>
                      <c:pt idx="2">
                        <c:v>Total Injuries:</c:v>
                      </c:pt>
                      <c:pt idx="3">
                        <c:v>Crashes with Traffic Fatalities:</c:v>
                      </c:pt>
                      <c:pt idx="4">
                        <c:v>Total Traffic Fatalities</c:v>
                      </c:pt>
                      <c:pt idx="5">
                        <c:v>Commercial Vehicle Crashes:</c:v>
                      </c:pt>
                      <c:pt idx="6">
                        <c:v>Commercial Vehicles:</c:v>
                      </c:pt>
                      <c:pt idx="7">
                        <c:v>Property Damage Crashes:</c:v>
                      </c:pt>
                      <c:pt idx="8">
                        <c:v>Pedestrian Crashes:</c:v>
                      </c:pt>
                      <c:pt idx="9">
                        <c:v>Pedestrian Fatalities:</c:v>
                      </c:pt>
                      <c:pt idx="10">
                        <c:v>Bicycle Crashes:</c:v>
                      </c:pt>
                      <c:pt idx="11">
                        <c:v>Bicycle Fatalities:</c:v>
                      </c:pt>
                    </c:strCache>
                  </c:strRef>
                </c:cat>
                <c:val>
                  <c:numRef>
                    <c:extLst>
                      <c:ext xmlns:c15="http://schemas.microsoft.com/office/drawing/2012/chart" uri="{02D57815-91ED-43cb-92C2-25804820EDAC}">
                        <c15:formulaRef>
                          <c15:sqref>Data!$E$2:$E$13</c15:sqref>
                        </c15:formulaRef>
                      </c:ext>
                    </c:extLst>
                    <c:numCache>
                      <c:formatCode>General</c:formatCode>
                      <c:ptCount val="12"/>
                      <c:pt idx="0">
                        <c:v>344336</c:v>
                      </c:pt>
                      <c:pt idx="1">
                        <c:v>149493</c:v>
                      </c:pt>
                      <c:pt idx="2">
                        <c:v>225716</c:v>
                      </c:pt>
                      <c:pt idx="3">
                        <c:v>2339</c:v>
                      </c:pt>
                      <c:pt idx="4">
                        <c:v>2497</c:v>
                      </c:pt>
                      <c:pt idx="5">
                        <c:v>34439</c:v>
                      </c:pt>
                      <c:pt idx="6">
                        <c:v>37349</c:v>
                      </c:pt>
                      <c:pt idx="7">
                        <c:v>192504</c:v>
                      </c:pt>
                      <c:pt idx="8">
                        <c:v>8846</c:v>
                      </c:pt>
                      <c:pt idx="9">
                        <c:v>607</c:v>
                      </c:pt>
                      <c:pt idx="10">
                        <c:v>7084</c:v>
                      </c:pt>
                      <c:pt idx="11">
                        <c:v>135</c:v>
                      </c:pt>
                    </c:numCache>
                  </c:numRef>
                </c:val>
                <c:extLst xmlns:c15="http://schemas.microsoft.com/office/drawing/2012/chart">
                  <c:ext xmlns:c16="http://schemas.microsoft.com/office/drawing/2014/chart" uri="{C3380CC4-5D6E-409C-BE32-E72D297353CC}">
                    <c16:uniqueId val="{00000004-525E-48FC-B1DE-1211359FA256}"/>
                  </c:ext>
                </c:extLst>
              </c15:ser>
            </c15:filteredBarSeries>
            <c15:filteredBarSeries>
              <c15:ser>
                <c:idx val="4"/>
                <c:order val="4"/>
                <c:tx>
                  <c:strRef>
                    <c:extLst>
                      <c:ext xmlns:c15="http://schemas.microsoft.com/office/drawing/2012/chart" uri="{02D57815-91ED-43cb-92C2-25804820EDAC}">
                        <c15:formulaRef>
                          <c15:sqref>Data!$F$1</c15:sqref>
                        </c15:formulaRef>
                      </c:ext>
                    </c:extLst>
                    <c:strCache>
                      <c:ptCount val="1"/>
                      <c:pt idx="0">
                        <c:v>2015</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Data!$A$2:$A$13</c15:sqref>
                        </c15:formulaRef>
                      </c:ext>
                    </c:extLst>
                    <c:strCache>
                      <c:ptCount val="12"/>
                      <c:pt idx="0">
                        <c:v>Total Crashes:</c:v>
                      </c:pt>
                      <c:pt idx="1">
                        <c:v>Injury Crashes:</c:v>
                      </c:pt>
                      <c:pt idx="2">
                        <c:v>Total Injuries:</c:v>
                      </c:pt>
                      <c:pt idx="3">
                        <c:v>Crashes with Traffic Fatalities:</c:v>
                      </c:pt>
                      <c:pt idx="4">
                        <c:v>Total Traffic Fatalities</c:v>
                      </c:pt>
                      <c:pt idx="5">
                        <c:v>Commercial Vehicle Crashes:</c:v>
                      </c:pt>
                      <c:pt idx="6">
                        <c:v>Commercial Vehicles:</c:v>
                      </c:pt>
                      <c:pt idx="7">
                        <c:v>Property Damage Crashes:</c:v>
                      </c:pt>
                      <c:pt idx="8">
                        <c:v>Pedestrian Crashes:</c:v>
                      </c:pt>
                      <c:pt idx="9">
                        <c:v>Pedestrian Fatalities:</c:v>
                      </c:pt>
                      <c:pt idx="10">
                        <c:v>Bicycle Crashes:</c:v>
                      </c:pt>
                      <c:pt idx="11">
                        <c:v>Bicycle Fatalities:</c:v>
                      </c:pt>
                    </c:strCache>
                  </c:strRef>
                </c:cat>
                <c:val>
                  <c:numRef>
                    <c:extLst>
                      <c:ext xmlns:c15="http://schemas.microsoft.com/office/drawing/2012/chart" uri="{02D57815-91ED-43cb-92C2-25804820EDAC}">
                        <c15:formulaRef>
                          <c15:sqref>Data!$F$2:$F$13</c15:sqref>
                        </c15:formulaRef>
                      </c:ext>
                    </c:extLst>
                    <c:numCache>
                      <c:formatCode>General</c:formatCode>
                      <c:ptCount val="12"/>
                      <c:pt idx="0">
                        <c:v>374003</c:v>
                      </c:pt>
                      <c:pt idx="1">
                        <c:v>159765</c:v>
                      </c:pt>
                      <c:pt idx="2">
                        <c:v>243229</c:v>
                      </c:pt>
                      <c:pt idx="3">
                        <c:v>2670</c:v>
                      </c:pt>
                      <c:pt idx="4">
                        <c:v>2898</c:v>
                      </c:pt>
                      <c:pt idx="5">
                        <c:v>38199</c:v>
                      </c:pt>
                      <c:pt idx="6">
                        <c:v>41196</c:v>
                      </c:pt>
                      <c:pt idx="7">
                        <c:v>211568</c:v>
                      </c:pt>
                      <c:pt idx="8">
                        <c:v>9075</c:v>
                      </c:pt>
                      <c:pt idx="9">
                        <c:v>609</c:v>
                      </c:pt>
                      <c:pt idx="10">
                        <c:v>7114</c:v>
                      </c:pt>
                      <c:pt idx="11">
                        <c:v>139</c:v>
                      </c:pt>
                    </c:numCache>
                  </c:numRef>
                </c:val>
                <c:extLst xmlns:c15="http://schemas.microsoft.com/office/drawing/2012/chart">
                  <c:ext xmlns:c16="http://schemas.microsoft.com/office/drawing/2014/chart" uri="{C3380CC4-5D6E-409C-BE32-E72D297353CC}">
                    <c16:uniqueId val="{00000005-525E-48FC-B1DE-1211359FA256}"/>
                  </c:ext>
                </c:extLst>
              </c15:ser>
            </c15:filteredBarSeries>
            <c15:filteredBarSeries>
              <c15:ser>
                <c:idx val="5"/>
                <c:order val="5"/>
                <c:tx>
                  <c:strRef>
                    <c:extLst>
                      <c:ext xmlns:c15="http://schemas.microsoft.com/office/drawing/2012/chart" uri="{02D57815-91ED-43cb-92C2-25804820EDAC}">
                        <c15:formulaRef>
                          <c15:sqref>Data!$G$1</c15:sqref>
                        </c15:formulaRef>
                      </c:ext>
                    </c:extLst>
                    <c:strCache>
                      <c:ptCount val="1"/>
                      <c:pt idx="0">
                        <c:v>Sum</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Data!$A$2:$A$13</c15:sqref>
                        </c15:formulaRef>
                      </c:ext>
                    </c:extLst>
                    <c:strCache>
                      <c:ptCount val="12"/>
                      <c:pt idx="0">
                        <c:v>Total Crashes:</c:v>
                      </c:pt>
                      <c:pt idx="1">
                        <c:v>Injury Crashes:</c:v>
                      </c:pt>
                      <c:pt idx="2">
                        <c:v>Total Injuries:</c:v>
                      </c:pt>
                      <c:pt idx="3">
                        <c:v>Crashes with Traffic Fatalities:</c:v>
                      </c:pt>
                      <c:pt idx="4">
                        <c:v>Total Traffic Fatalities</c:v>
                      </c:pt>
                      <c:pt idx="5">
                        <c:v>Commercial Vehicle Crashes:</c:v>
                      </c:pt>
                      <c:pt idx="6">
                        <c:v>Commercial Vehicles:</c:v>
                      </c:pt>
                      <c:pt idx="7">
                        <c:v>Property Damage Crashes:</c:v>
                      </c:pt>
                      <c:pt idx="8">
                        <c:v>Pedestrian Crashes:</c:v>
                      </c:pt>
                      <c:pt idx="9">
                        <c:v>Pedestrian Fatalities:</c:v>
                      </c:pt>
                      <c:pt idx="10">
                        <c:v>Bicycle Crashes:</c:v>
                      </c:pt>
                      <c:pt idx="11">
                        <c:v>Bicycle Fatalities:</c:v>
                      </c:pt>
                    </c:strCache>
                  </c:strRef>
                </c:cat>
                <c:val>
                  <c:numRef>
                    <c:extLst>
                      <c:ext xmlns:c15="http://schemas.microsoft.com/office/drawing/2012/chart" uri="{02D57815-91ED-43cb-92C2-25804820EDAC}">
                        <c15:formulaRef>
                          <c15:sqref>Data!$G$2:$G$13</c15:sqref>
                        </c15:formulaRef>
                      </c:ext>
                    </c:extLst>
                    <c:numCache>
                      <c:formatCode>General</c:formatCode>
                      <c:ptCount val="12"/>
                      <c:pt idx="0">
                        <c:v>1548113</c:v>
                      </c:pt>
                      <c:pt idx="1">
                        <c:v>697952</c:v>
                      </c:pt>
                      <c:pt idx="2">
                        <c:v>1060521</c:v>
                      </c:pt>
                      <c:pt idx="3">
                        <c:v>11697</c:v>
                      </c:pt>
                      <c:pt idx="4">
                        <c:v>12622</c:v>
                      </c:pt>
                      <c:pt idx="5">
                        <c:v>145661</c:v>
                      </c:pt>
                      <c:pt idx="6">
                        <c:v>157215</c:v>
                      </c:pt>
                      <c:pt idx="7">
                        <c:v>838464</c:v>
                      </c:pt>
                      <c:pt idx="8">
                        <c:v>41668</c:v>
                      </c:pt>
                      <c:pt idx="9">
                        <c:v>2688</c:v>
                      </c:pt>
                      <c:pt idx="10">
                        <c:v>32651</c:v>
                      </c:pt>
                      <c:pt idx="11">
                        <c:v>646</c:v>
                      </c:pt>
                    </c:numCache>
                  </c:numRef>
                </c:val>
                <c:extLst xmlns:c15="http://schemas.microsoft.com/office/drawing/2012/chart">
                  <c:ext xmlns:c16="http://schemas.microsoft.com/office/drawing/2014/chart" uri="{C3380CC4-5D6E-409C-BE32-E72D297353CC}">
                    <c16:uniqueId val="{00000006-525E-48FC-B1DE-1211359FA256}"/>
                  </c:ext>
                </c:extLst>
              </c15:ser>
            </c15:filteredBarSeries>
            <c15:filteredBarSeries>
              <c15:ser>
                <c:idx val="6"/>
                <c:order val="6"/>
                <c:tx>
                  <c:strRef>
                    <c:extLst>
                      <c:ext xmlns:c15="http://schemas.microsoft.com/office/drawing/2012/chart" uri="{02D57815-91ED-43cb-92C2-25804820EDAC}">
                        <c15:formulaRef>
                          <c15:sqref>Data!$H$1</c15:sqref>
                        </c15:formulaRef>
                      </c:ext>
                    </c:extLst>
                    <c:strCache>
                      <c:ptCount val="1"/>
                      <c:pt idx="0">
                        <c:v>Difference 2015 &amp;2011</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Data!$A$2:$A$13</c15:sqref>
                        </c15:formulaRef>
                      </c:ext>
                    </c:extLst>
                    <c:strCache>
                      <c:ptCount val="12"/>
                      <c:pt idx="0">
                        <c:v>Total Crashes:</c:v>
                      </c:pt>
                      <c:pt idx="1">
                        <c:v>Injury Crashes:</c:v>
                      </c:pt>
                      <c:pt idx="2">
                        <c:v>Total Injuries:</c:v>
                      </c:pt>
                      <c:pt idx="3">
                        <c:v>Crashes with Traffic Fatalities:</c:v>
                      </c:pt>
                      <c:pt idx="4">
                        <c:v>Total Traffic Fatalities</c:v>
                      </c:pt>
                      <c:pt idx="5">
                        <c:v>Commercial Vehicle Crashes:</c:v>
                      </c:pt>
                      <c:pt idx="6">
                        <c:v>Commercial Vehicles:</c:v>
                      </c:pt>
                      <c:pt idx="7">
                        <c:v>Property Damage Crashes:</c:v>
                      </c:pt>
                      <c:pt idx="8">
                        <c:v>Pedestrian Crashes:</c:v>
                      </c:pt>
                      <c:pt idx="9">
                        <c:v>Pedestrian Fatalities:</c:v>
                      </c:pt>
                      <c:pt idx="10">
                        <c:v>Bicycle Crashes:</c:v>
                      </c:pt>
                      <c:pt idx="11">
                        <c:v>Bicycle Fatalities:</c:v>
                      </c:pt>
                    </c:strCache>
                  </c:strRef>
                </c:cat>
                <c:val>
                  <c:numRef>
                    <c:extLst>
                      <c:ext xmlns:c15="http://schemas.microsoft.com/office/drawing/2012/chart" uri="{02D57815-91ED-43cb-92C2-25804820EDAC}">
                        <c15:formulaRef>
                          <c15:sqref>Data!$H$2:$H$13</c15:sqref>
                        </c15:formulaRef>
                      </c:ext>
                    </c:extLst>
                    <c:numCache>
                      <c:formatCode>General</c:formatCode>
                      <c:ptCount val="12"/>
                      <c:pt idx="0">
                        <c:v>144793</c:v>
                      </c:pt>
                      <c:pt idx="1">
                        <c:v>41608</c:v>
                      </c:pt>
                      <c:pt idx="2">
                        <c:v>61222</c:v>
                      </c:pt>
                      <c:pt idx="3">
                        <c:v>455</c:v>
                      </c:pt>
                      <c:pt idx="4">
                        <c:v>494</c:v>
                      </c:pt>
                      <c:pt idx="5">
                        <c:v>26740</c:v>
                      </c:pt>
                      <c:pt idx="6">
                        <c:v>29005</c:v>
                      </c:pt>
                      <c:pt idx="7">
                        <c:v>102730</c:v>
                      </c:pt>
                      <c:pt idx="8">
                        <c:v>2029</c:v>
                      </c:pt>
                      <c:pt idx="9">
                        <c:v>111</c:v>
                      </c:pt>
                      <c:pt idx="10">
                        <c:v>2077</c:v>
                      </c:pt>
                      <c:pt idx="11">
                        <c:v>19</c:v>
                      </c:pt>
                    </c:numCache>
                  </c:numRef>
                </c:val>
                <c:extLst xmlns:c15="http://schemas.microsoft.com/office/drawing/2012/chart">
                  <c:ext xmlns:c16="http://schemas.microsoft.com/office/drawing/2014/chart" uri="{C3380CC4-5D6E-409C-BE32-E72D297353CC}">
                    <c16:uniqueId val="{00000007-525E-48FC-B1DE-1211359FA256}"/>
                  </c:ext>
                </c:extLst>
              </c15:ser>
            </c15:filteredBarSeries>
            <c15:filteredBarSeries>
              <c15:ser>
                <c:idx val="8"/>
                <c:order val="8"/>
                <c:tx>
                  <c:strRef>
                    <c:extLst>
                      <c:ext xmlns:c15="http://schemas.microsoft.com/office/drawing/2012/chart" uri="{02D57815-91ED-43cb-92C2-25804820EDAC}">
                        <c15:formulaRef>
                          <c15:sqref>Data!$J$1</c15:sqref>
                        </c15:formulaRef>
                      </c:ext>
                    </c:extLst>
                    <c:strCache>
                      <c:ptCount val="1"/>
                      <c:pt idx="0">
                        <c:v>Sparklines</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Data!$A$2:$A$13</c15:sqref>
                        </c15:formulaRef>
                      </c:ext>
                    </c:extLst>
                    <c:strCache>
                      <c:ptCount val="12"/>
                      <c:pt idx="0">
                        <c:v>Total Crashes:</c:v>
                      </c:pt>
                      <c:pt idx="1">
                        <c:v>Injury Crashes:</c:v>
                      </c:pt>
                      <c:pt idx="2">
                        <c:v>Total Injuries:</c:v>
                      </c:pt>
                      <c:pt idx="3">
                        <c:v>Crashes with Traffic Fatalities:</c:v>
                      </c:pt>
                      <c:pt idx="4">
                        <c:v>Total Traffic Fatalities</c:v>
                      </c:pt>
                      <c:pt idx="5">
                        <c:v>Commercial Vehicle Crashes:</c:v>
                      </c:pt>
                      <c:pt idx="6">
                        <c:v>Commercial Vehicles:</c:v>
                      </c:pt>
                      <c:pt idx="7">
                        <c:v>Property Damage Crashes:</c:v>
                      </c:pt>
                      <c:pt idx="8">
                        <c:v>Pedestrian Crashes:</c:v>
                      </c:pt>
                      <c:pt idx="9">
                        <c:v>Pedestrian Fatalities:</c:v>
                      </c:pt>
                      <c:pt idx="10">
                        <c:v>Bicycle Crashes:</c:v>
                      </c:pt>
                      <c:pt idx="11">
                        <c:v>Bicycle Fatalities:</c:v>
                      </c:pt>
                    </c:strCache>
                  </c:strRef>
                </c:cat>
                <c:val>
                  <c:numRef>
                    <c:extLst>
                      <c:ext xmlns:c15="http://schemas.microsoft.com/office/drawing/2012/chart" uri="{02D57815-91ED-43cb-92C2-25804820EDAC}">
                        <c15:formulaRef>
                          <c15:sqref>Data!$J$2:$J$13</c15:sqref>
                        </c15:formulaRef>
                      </c:ext>
                    </c:extLst>
                    <c:numCache>
                      <c:formatCode>General</c:formatCode>
                      <c:ptCount val="12"/>
                    </c:numCache>
                  </c:numRef>
                </c:val>
                <c:extLst xmlns:c15="http://schemas.microsoft.com/office/drawing/2012/chart">
                  <c:ext xmlns:c16="http://schemas.microsoft.com/office/drawing/2014/chart" uri="{C3380CC4-5D6E-409C-BE32-E72D297353CC}">
                    <c16:uniqueId val="{00000008-525E-48FC-B1DE-1211359FA256}"/>
                  </c:ext>
                </c:extLst>
              </c15:ser>
            </c15:filteredBarSeries>
          </c:ext>
        </c:extLst>
      </c:barChart>
      <c:catAx>
        <c:axId val="144416185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Category</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160416"/>
        <c:crosses val="autoZero"/>
        <c:auto val="1"/>
        <c:lblAlgn val="ctr"/>
        <c:lblOffset val="100"/>
        <c:noMultiLvlLbl val="0"/>
      </c:catAx>
      <c:valAx>
        <c:axId val="1444160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Percentage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161856"/>
        <c:crosses val="autoZero"/>
        <c:crossBetween val="between"/>
      </c:valAx>
      <c:spPr>
        <a:noFill/>
        <a:ln>
          <a:noFill/>
        </a:ln>
        <a:effectLst/>
      </c:spPr>
    </c:plotArea>
    <c:legend>
      <c:legendPos val="b"/>
      <c:layout>
        <c:manualLayout>
          <c:xMode val="edge"/>
          <c:yMode val="edge"/>
          <c:x val="0.73088867679418856"/>
          <c:y val="0.84717588755352946"/>
          <c:w val="0.15101725920623557"/>
          <c:h val="9.251709490261085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1866901</xdr:colOff>
      <xdr:row>0</xdr:row>
      <xdr:rowOff>1905</xdr:rowOff>
    </xdr:from>
    <xdr:to>
      <xdr:col>22</xdr:col>
      <xdr:colOff>26959</xdr:colOff>
      <xdr:row>36</xdr:row>
      <xdr:rowOff>173355</xdr:rowOff>
    </xdr:to>
    <xdr:sp macro="" textlink="">
      <xdr:nvSpPr>
        <xdr:cNvPr id="3" name="Rectangle 2">
          <a:extLst>
            <a:ext uri="{FF2B5EF4-FFF2-40B4-BE49-F238E27FC236}">
              <a16:creationId xmlns:a16="http://schemas.microsoft.com/office/drawing/2014/main" id="{4E23737D-4ACF-42FD-9A8D-5B23558C0E68}"/>
            </a:ext>
          </a:extLst>
        </xdr:cNvPr>
        <xdr:cNvSpPr/>
      </xdr:nvSpPr>
      <xdr:spPr>
        <a:xfrm>
          <a:off x="2073576" y="1905"/>
          <a:ext cx="12276826" cy="6964752"/>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t"/>
        <a:lstStyle/>
        <a:p>
          <a:pPr algn="l"/>
          <a:endParaRPr lang="en-US" sz="1100"/>
        </a:p>
      </xdr:txBody>
    </xdr:sp>
    <xdr:clientData/>
  </xdr:twoCellAnchor>
  <xdr:twoCellAnchor>
    <xdr:from>
      <xdr:col>0</xdr:col>
      <xdr:colOff>0</xdr:colOff>
      <xdr:row>0</xdr:row>
      <xdr:rowOff>0</xdr:rowOff>
    </xdr:from>
    <xdr:to>
      <xdr:col>1</xdr:col>
      <xdr:colOff>1857375</xdr:colOff>
      <xdr:row>36</xdr:row>
      <xdr:rowOff>161925</xdr:rowOff>
    </xdr:to>
    <xdr:sp macro="" textlink="">
      <xdr:nvSpPr>
        <xdr:cNvPr id="2" name="Rectangle 1">
          <a:extLst>
            <a:ext uri="{FF2B5EF4-FFF2-40B4-BE49-F238E27FC236}">
              <a16:creationId xmlns:a16="http://schemas.microsoft.com/office/drawing/2014/main" id="{5F95AD90-11A4-369C-4092-1477DF93F151}"/>
            </a:ext>
          </a:extLst>
        </xdr:cNvPr>
        <xdr:cNvSpPr/>
      </xdr:nvSpPr>
      <xdr:spPr>
        <a:xfrm>
          <a:off x="0" y="0"/>
          <a:ext cx="2066925" cy="7019925"/>
        </a:xfrm>
        <a:prstGeom prst="rect">
          <a:avLst/>
        </a:prstGeom>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91440</xdr:colOff>
      <xdr:row>1</xdr:row>
      <xdr:rowOff>180975</xdr:rowOff>
    </xdr:from>
    <xdr:to>
      <xdr:col>1</xdr:col>
      <xdr:colOff>1744979</xdr:colOff>
      <xdr:row>7</xdr:row>
      <xdr:rowOff>137160</xdr:rowOff>
    </xdr:to>
    <xdr:sp macro="" textlink="">
      <xdr:nvSpPr>
        <xdr:cNvPr id="4" name="TextBox 3">
          <a:extLst>
            <a:ext uri="{FF2B5EF4-FFF2-40B4-BE49-F238E27FC236}">
              <a16:creationId xmlns:a16="http://schemas.microsoft.com/office/drawing/2014/main" id="{A2226956-C277-8AC6-0A2F-DF9ABE87AAA7}"/>
            </a:ext>
          </a:extLst>
        </xdr:cNvPr>
        <xdr:cNvSpPr txBox="1"/>
      </xdr:nvSpPr>
      <xdr:spPr>
        <a:xfrm>
          <a:off x="91440" y="363855"/>
          <a:ext cx="1866899" cy="1053465"/>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a:t>
          </a:r>
          <a:r>
            <a:rPr lang="en-US" sz="1800" b="1"/>
            <a:t>Crashes</a:t>
          </a:r>
        </a:p>
        <a:p>
          <a:pPr eaLnBrk="1" fontAlgn="auto" latinLnBrk="0" hangingPunct="1"/>
          <a:r>
            <a:rPr lang="en-US" sz="1800">
              <a:solidFill>
                <a:schemeClr val="dk1"/>
              </a:solidFill>
              <a:effectLst/>
              <a:latin typeface="+mn-lt"/>
              <a:ea typeface="+mn-ea"/>
              <a:cs typeface="+mn-cs"/>
            </a:rPr>
            <a:t>🤕🚑</a:t>
          </a:r>
          <a:r>
            <a:rPr lang="en-US" sz="1800" baseline="0">
              <a:solidFill>
                <a:schemeClr val="dk1"/>
              </a:solidFill>
              <a:effectLst/>
              <a:latin typeface="+mn-lt"/>
              <a:ea typeface="+mn-ea"/>
              <a:cs typeface="+mn-cs"/>
            </a:rPr>
            <a:t> </a:t>
          </a:r>
          <a:r>
            <a:rPr lang="en-US" sz="1800" b="1">
              <a:solidFill>
                <a:schemeClr val="dk1"/>
              </a:solidFill>
              <a:effectLst/>
              <a:latin typeface="+mn-lt"/>
              <a:ea typeface="+mn-ea"/>
              <a:cs typeface="+mn-cs"/>
            </a:rPr>
            <a:t>Injuries</a:t>
          </a:r>
          <a:endParaRPr lang="en-US" sz="1800">
            <a:effectLst/>
          </a:endParaRPr>
        </a:p>
        <a:p>
          <a:r>
            <a:rPr lang="en-US" sz="1800">
              <a:solidFill>
                <a:schemeClr val="dk1"/>
              </a:solidFill>
              <a:effectLst/>
              <a:latin typeface="+mn-lt"/>
              <a:ea typeface="+mn-ea"/>
              <a:cs typeface="+mn-cs"/>
            </a:rPr>
            <a:t>☠️</a:t>
          </a:r>
          <a:r>
            <a:rPr lang="en-US" sz="1800" baseline="0">
              <a:solidFill>
                <a:schemeClr val="dk1"/>
              </a:solidFill>
              <a:effectLst/>
              <a:latin typeface="+mn-lt"/>
              <a:ea typeface="+mn-ea"/>
              <a:cs typeface="+mn-cs"/>
            </a:rPr>
            <a:t> </a:t>
          </a:r>
          <a:r>
            <a:rPr lang="en-US" sz="1800" b="1">
              <a:solidFill>
                <a:schemeClr val="dk1"/>
              </a:solidFill>
              <a:effectLst/>
              <a:latin typeface="+mn-lt"/>
              <a:ea typeface="+mn-ea"/>
              <a:cs typeface="+mn-cs"/>
            </a:rPr>
            <a:t>Fatilities</a:t>
          </a:r>
          <a:endParaRPr lang="en-US" sz="1800">
            <a:effectLst/>
          </a:endParaRPr>
        </a:p>
        <a:p>
          <a:endParaRPr lang="en-US" sz="2800"/>
        </a:p>
      </xdr:txBody>
    </xdr:sp>
    <xdr:clientData/>
  </xdr:twoCellAnchor>
  <xdr:twoCellAnchor>
    <xdr:from>
      <xdr:col>1</xdr:col>
      <xdr:colOff>1962150</xdr:colOff>
      <xdr:row>0</xdr:row>
      <xdr:rowOff>104775</xdr:rowOff>
    </xdr:from>
    <xdr:to>
      <xdr:col>8</xdr:col>
      <xdr:colOff>205740</xdr:colOff>
      <xdr:row>12</xdr:row>
      <xdr:rowOff>85725</xdr:rowOff>
    </xdr:to>
    <xdr:graphicFrame macro="">
      <xdr:nvGraphicFramePr>
        <xdr:cNvPr id="6" name="Chart 5">
          <a:extLst>
            <a:ext uri="{FF2B5EF4-FFF2-40B4-BE49-F238E27FC236}">
              <a16:creationId xmlns:a16="http://schemas.microsoft.com/office/drawing/2014/main" id="{1AFBFB36-8666-47EA-9598-82BA12190A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326295</xdr:colOff>
      <xdr:row>13</xdr:row>
      <xdr:rowOff>27173</xdr:rowOff>
    </xdr:from>
    <xdr:to>
      <xdr:col>14</xdr:col>
      <xdr:colOff>463455</xdr:colOff>
      <xdr:row>26</xdr:row>
      <xdr:rowOff>50033</xdr:rowOff>
    </xdr:to>
    <xdr:graphicFrame macro="">
      <xdr:nvGraphicFramePr>
        <xdr:cNvPr id="7" name="Chart 6">
          <a:extLst>
            <a:ext uri="{FF2B5EF4-FFF2-40B4-BE49-F238E27FC236}">
              <a16:creationId xmlns:a16="http://schemas.microsoft.com/office/drawing/2014/main" id="{1D22713B-67C7-49EC-ABF0-C0A1BE7B79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582930</xdr:colOff>
      <xdr:row>0</xdr:row>
      <xdr:rowOff>110490</xdr:rowOff>
    </xdr:from>
    <xdr:to>
      <xdr:col>21</xdr:col>
      <xdr:colOff>297180</xdr:colOff>
      <xdr:row>12</xdr:row>
      <xdr:rowOff>81915</xdr:rowOff>
    </xdr:to>
    <xdr:graphicFrame macro="">
      <xdr:nvGraphicFramePr>
        <xdr:cNvPr id="8" name="Chart 7">
          <a:extLst>
            <a:ext uri="{FF2B5EF4-FFF2-40B4-BE49-F238E27FC236}">
              <a16:creationId xmlns:a16="http://schemas.microsoft.com/office/drawing/2014/main" id="{012D8515-0685-4200-B249-A59A802D68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1976852</xdr:colOff>
      <xdr:row>13</xdr:row>
      <xdr:rowOff>18188</xdr:rowOff>
    </xdr:from>
    <xdr:to>
      <xdr:col>8</xdr:col>
      <xdr:colOff>237585</xdr:colOff>
      <xdr:row>26</xdr:row>
      <xdr:rowOff>33428</xdr:rowOff>
    </xdr:to>
    <xdr:graphicFrame macro="">
      <xdr:nvGraphicFramePr>
        <xdr:cNvPr id="9" name="Chart 8">
          <a:extLst>
            <a:ext uri="{FF2B5EF4-FFF2-40B4-BE49-F238E27FC236}">
              <a16:creationId xmlns:a16="http://schemas.microsoft.com/office/drawing/2014/main" id="{9A837B7A-552F-4C07-A942-C98367C9FD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304800</xdr:colOff>
      <xdr:row>0</xdr:row>
      <xdr:rowOff>87631</xdr:rowOff>
    </xdr:from>
    <xdr:to>
      <xdr:col>14</xdr:col>
      <xdr:colOff>449580</xdr:colOff>
      <xdr:row>12</xdr:row>
      <xdr:rowOff>83821</xdr:rowOff>
    </xdr:to>
    <xdr:graphicFrame macro="">
      <xdr:nvGraphicFramePr>
        <xdr:cNvPr id="10" name="Chart 9">
          <a:extLst>
            <a:ext uri="{FF2B5EF4-FFF2-40B4-BE49-F238E27FC236}">
              <a16:creationId xmlns:a16="http://schemas.microsoft.com/office/drawing/2014/main" id="{36B688A5-584D-46BB-9DD9-9E3E01D9C1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2238376</xdr:colOff>
      <xdr:row>27</xdr:row>
      <xdr:rowOff>1</xdr:rowOff>
    </xdr:from>
    <xdr:to>
      <xdr:col>8</xdr:col>
      <xdr:colOff>60960</xdr:colOff>
      <xdr:row>36</xdr:row>
      <xdr:rowOff>57151</xdr:rowOff>
    </xdr:to>
    <xdr:graphicFrame macro="">
      <xdr:nvGraphicFramePr>
        <xdr:cNvPr id="11" name="Chart 10">
          <a:extLst>
            <a:ext uri="{FF2B5EF4-FFF2-40B4-BE49-F238E27FC236}">
              <a16:creationId xmlns:a16="http://schemas.microsoft.com/office/drawing/2014/main" id="{F019075D-5EFE-4D92-B390-3E62EE2C12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45720</xdr:colOff>
      <xdr:row>27</xdr:row>
      <xdr:rowOff>9525</xdr:rowOff>
    </xdr:from>
    <xdr:to>
      <xdr:col>14</xdr:col>
      <xdr:colOff>373380</xdr:colOff>
      <xdr:row>36</xdr:row>
      <xdr:rowOff>76200</xdr:rowOff>
    </xdr:to>
    <xdr:graphicFrame macro="">
      <xdr:nvGraphicFramePr>
        <xdr:cNvPr id="12" name="Chart 11">
          <a:extLst>
            <a:ext uri="{FF2B5EF4-FFF2-40B4-BE49-F238E27FC236}">
              <a16:creationId xmlns:a16="http://schemas.microsoft.com/office/drawing/2014/main" id="{DF8C8A55-6483-4EAB-87BE-8E663C04D9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342900</xdr:colOff>
      <xdr:row>26</xdr:row>
      <xdr:rowOff>177164</xdr:rowOff>
    </xdr:from>
    <xdr:to>
      <xdr:col>21</xdr:col>
      <xdr:colOff>137160</xdr:colOff>
      <xdr:row>36</xdr:row>
      <xdr:rowOff>70485</xdr:rowOff>
    </xdr:to>
    <xdr:graphicFrame macro="">
      <xdr:nvGraphicFramePr>
        <xdr:cNvPr id="13" name="Chart 12">
          <a:extLst>
            <a:ext uri="{FF2B5EF4-FFF2-40B4-BE49-F238E27FC236}">
              <a16:creationId xmlns:a16="http://schemas.microsoft.com/office/drawing/2014/main" id="{7181BA26-4478-4F12-B3C5-8E25C5DE33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68580</xdr:colOff>
      <xdr:row>11</xdr:row>
      <xdr:rowOff>116205</xdr:rowOff>
    </xdr:from>
    <xdr:to>
      <xdr:col>1</xdr:col>
      <xdr:colOff>1737359</xdr:colOff>
      <xdr:row>25</xdr:row>
      <xdr:rowOff>99060</xdr:rowOff>
    </xdr:to>
    <xdr:sp macro="" textlink="">
      <xdr:nvSpPr>
        <xdr:cNvPr id="16" name="TextBox 15">
          <a:extLst>
            <a:ext uri="{FF2B5EF4-FFF2-40B4-BE49-F238E27FC236}">
              <a16:creationId xmlns:a16="http://schemas.microsoft.com/office/drawing/2014/main" id="{52BD360D-C764-4F03-ABF2-5BBB87B6463F}"/>
            </a:ext>
          </a:extLst>
        </xdr:cNvPr>
        <xdr:cNvSpPr txBox="1"/>
      </xdr:nvSpPr>
      <xdr:spPr>
        <a:xfrm>
          <a:off x="68580" y="2127885"/>
          <a:ext cx="1882139" cy="2543175"/>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3200" b="1"/>
        </a:p>
      </xdr:txBody>
    </xdr:sp>
    <xdr:clientData/>
  </xdr:twoCellAnchor>
  <xdr:twoCellAnchor editAs="absolute">
    <xdr:from>
      <xdr:col>0</xdr:col>
      <xdr:colOff>91440</xdr:colOff>
      <xdr:row>11</xdr:row>
      <xdr:rowOff>161925</xdr:rowOff>
    </xdr:from>
    <xdr:to>
      <xdr:col>1</xdr:col>
      <xdr:colOff>1706880</xdr:colOff>
      <xdr:row>25</xdr:row>
      <xdr:rowOff>68580</xdr:rowOff>
    </xdr:to>
    <mc:AlternateContent xmlns:mc="http://schemas.openxmlformats.org/markup-compatibility/2006" xmlns:sle15="http://schemas.microsoft.com/office/drawing/2012/slicer">
      <mc:Choice Requires="sle15">
        <xdr:graphicFrame macro="">
          <xdr:nvGraphicFramePr>
            <xdr:cNvPr id="20" name="Crash Summary">
              <a:extLst>
                <a:ext uri="{FF2B5EF4-FFF2-40B4-BE49-F238E27FC236}">
                  <a16:creationId xmlns:a16="http://schemas.microsoft.com/office/drawing/2014/main" id="{64970F05-7F9E-4F04-AE79-B3887328900B}"/>
                </a:ext>
              </a:extLst>
            </xdr:cNvPr>
            <xdr:cNvGraphicFramePr/>
          </xdr:nvGraphicFramePr>
          <xdr:xfrm>
            <a:off x="0" y="0"/>
            <a:ext cx="0" cy="0"/>
          </xdr:xfrm>
          <a:graphic>
            <a:graphicData uri="http://schemas.microsoft.com/office/drawing/2010/slicer">
              <sle:slicer xmlns:sle="http://schemas.microsoft.com/office/drawing/2010/slicer" name="Crash Summary"/>
            </a:graphicData>
          </a:graphic>
        </xdr:graphicFrame>
      </mc:Choice>
      <mc:Fallback xmlns="">
        <xdr:sp macro="" textlink="">
          <xdr:nvSpPr>
            <xdr:cNvPr id="0" name=""/>
            <xdr:cNvSpPr>
              <a:spLocks noTextEdit="1"/>
            </xdr:cNvSpPr>
          </xdr:nvSpPr>
          <xdr:spPr>
            <a:xfrm>
              <a:off x="91440" y="2173605"/>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14</xdr:col>
      <xdr:colOff>594359</xdr:colOff>
      <xdr:row>13</xdr:row>
      <xdr:rowOff>39682</xdr:rowOff>
    </xdr:from>
    <xdr:to>
      <xdr:col>21</xdr:col>
      <xdr:colOff>305518</xdr:colOff>
      <xdr:row>26</xdr:row>
      <xdr:rowOff>39682</xdr:rowOff>
    </xdr:to>
    <xdr:graphicFrame macro="">
      <xdr:nvGraphicFramePr>
        <xdr:cNvPr id="5" name="Chart 4">
          <a:extLst>
            <a:ext uri="{FF2B5EF4-FFF2-40B4-BE49-F238E27FC236}">
              <a16:creationId xmlns:a16="http://schemas.microsoft.com/office/drawing/2014/main" id="{600FD355-1DF0-4BB2-B9B6-4BE67583C6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ash_Summary" xr10:uid="{72A56FD7-45E5-4B9F-A071-B7F039012764}" sourceName="Crash Summary">
  <extLst>
    <x:ext xmlns:x15="http://schemas.microsoft.com/office/spreadsheetml/2010/11/main" uri="{2F2917AC-EB37-4324-AD4E-5DD8C200BD13}">
      <x15:tableSlicerCache tableId="10"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ash Summary" xr10:uid="{9833592C-FB6E-444B-8D35-0045BC5EC852}" cache="Slicer_Crash_Summary" caption="Crash Summary" startItem="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66D8F95-E14F-4CB3-B72A-7FB4DCF73098}" name="Table10" displayName="Table10" ref="A1:J13" totalsRowShown="0" headerRowDxfId="14" dataDxfId="12" headerRowBorderDxfId="13" tableBorderDxfId="11" totalsRowBorderDxfId="10">
  <autoFilter ref="A1:J13" xr:uid="{966D8F95-E14F-4CB3-B72A-7FB4DCF73098}"/>
  <tableColumns count="10">
    <tableColumn id="1" xr3:uid="{0532F5C7-6523-4F55-A5CC-A983409C6C2D}" name="Crash Summary" dataDxfId="9"/>
    <tableColumn id="2" xr3:uid="{28971DAD-AB67-4F82-9682-50B1D7EDD193}" name="2011" dataDxfId="8"/>
    <tableColumn id="3" xr3:uid="{1EB70266-9A35-4896-B502-2191B66AA685}" name="2012" dataDxfId="7"/>
    <tableColumn id="4" xr3:uid="{9243DCF3-16B4-4838-8E58-A99399B19E5B}" name="2013" dataDxfId="6"/>
    <tableColumn id="5" xr3:uid="{EB7A3285-70D2-40E0-8040-053C85E689F5}" name="2014" dataDxfId="5"/>
    <tableColumn id="6" xr3:uid="{42469C90-2274-4E82-A202-4A61AAF64183}" name="2015" dataDxfId="4"/>
    <tableColumn id="7" xr3:uid="{C8130FC0-4375-4331-AA3F-D6900FCBF6EE}" name="Sum" dataDxfId="3">
      <calculatedColumnFormula>SUM(Table10[[#This Row],[2011]:[2015]])</calculatedColumnFormula>
    </tableColumn>
    <tableColumn id="8" xr3:uid="{EA5CF61A-3E8E-4188-A38D-B52AF0CAC0A2}" name="Difference 2015 &amp;2011" dataDxfId="2">
      <calculatedColumnFormula>Table10[[#This Row],[2015]]-Table10[[#This Row],[2011]]</calculatedColumnFormula>
    </tableColumn>
    <tableColumn id="9" xr3:uid="{15049805-AEA7-47F6-A48A-F217040694C4}" name="Ratio %" dataDxfId="1">
      <calculatedColumnFormula>(Table10[[#This Row],[Difference 2015 &amp;2011]]/Table10[[#This Row],[2011]]) *100</calculatedColumnFormula>
    </tableColumn>
    <tableColumn id="10" xr3:uid="{437CED30-BFD7-4A71-AFEB-7B855F191943}" name="Sparklines"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9A59001-F288-4BC2-BF96-CD55E012FF65}">
  <we:reference id="wa200005502" version="1.0.0.13" store="en-US" storeType="OMEX"/>
  <we:alternateReferences>
    <we:reference id="wa200005502" version="1.0.0.13" store="wa200005502" storeType="OMEX"/>
  </we:alternateReferences>
  <we:properties>
    <we:property name="docId" value="&quot;Y4IZX6w0rkyXIXGcMsz5e&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CEC0C-F5DF-4C72-8998-FEF4C94A0202}">
  <dimension ref="A1:B13"/>
  <sheetViews>
    <sheetView workbookViewId="0">
      <selection activeCell="G23" sqref="G23"/>
    </sheetView>
  </sheetViews>
  <sheetFormatPr defaultRowHeight="15" x14ac:dyDescent="0.25"/>
  <cols>
    <col min="1" max="1" width="28" bestFit="1" customWidth="1"/>
  </cols>
  <sheetData>
    <row r="1" spans="1:2" ht="15.75" x14ac:dyDescent="0.25">
      <c r="A1" s="4" t="s">
        <v>0</v>
      </c>
      <c r="B1" s="4">
        <v>2011</v>
      </c>
    </row>
    <row r="2" spans="1:2" ht="15" customHeight="1" x14ac:dyDescent="0.25">
      <c r="A2" s="1" t="s">
        <v>1</v>
      </c>
      <c r="B2" s="5">
        <v>229210</v>
      </c>
    </row>
    <row r="3" spans="1:2" ht="15" customHeight="1" x14ac:dyDescent="0.25">
      <c r="A3" s="1" t="s">
        <v>2</v>
      </c>
      <c r="B3" s="5">
        <v>118157</v>
      </c>
    </row>
    <row r="4" spans="1:2" ht="15" customHeight="1" x14ac:dyDescent="0.25">
      <c r="A4" s="1" t="s">
        <v>3</v>
      </c>
      <c r="B4" s="5">
        <v>182007</v>
      </c>
    </row>
    <row r="5" spans="1:2" ht="15" customHeight="1" x14ac:dyDescent="0.25">
      <c r="A5" s="1" t="s">
        <v>4</v>
      </c>
      <c r="B5" s="5">
        <v>2215</v>
      </c>
    </row>
    <row r="6" spans="1:2" ht="15" customHeight="1" x14ac:dyDescent="0.25">
      <c r="A6" s="1" t="s">
        <v>5</v>
      </c>
      <c r="B6" s="5">
        <v>2404</v>
      </c>
    </row>
    <row r="7" spans="1:2" ht="15" customHeight="1" x14ac:dyDescent="0.25">
      <c r="A7" s="1" t="s">
        <v>6</v>
      </c>
      <c r="B7" s="5">
        <v>11459</v>
      </c>
    </row>
    <row r="8" spans="1:2" ht="15" customHeight="1" x14ac:dyDescent="0.25">
      <c r="A8" s="1" t="s">
        <v>7</v>
      </c>
      <c r="B8" s="5">
        <v>12191</v>
      </c>
    </row>
    <row r="9" spans="1:2" ht="15" customHeight="1" x14ac:dyDescent="0.25">
      <c r="A9" s="1" t="s">
        <v>8</v>
      </c>
      <c r="B9" s="5">
        <v>108838</v>
      </c>
    </row>
    <row r="10" spans="1:2" ht="15" customHeight="1" x14ac:dyDescent="0.25">
      <c r="A10" s="1" t="s">
        <v>9</v>
      </c>
      <c r="B10" s="5">
        <v>7046</v>
      </c>
    </row>
    <row r="11" spans="1:2" ht="15" customHeight="1" x14ac:dyDescent="0.25">
      <c r="A11" s="1" t="s">
        <v>10</v>
      </c>
      <c r="B11" s="5">
        <v>498</v>
      </c>
    </row>
    <row r="12" spans="1:2" ht="15" customHeight="1" x14ac:dyDescent="0.25">
      <c r="A12" s="1" t="s">
        <v>11</v>
      </c>
      <c r="B12" s="5">
        <v>5037</v>
      </c>
    </row>
    <row r="13" spans="1:2" ht="15" customHeight="1" x14ac:dyDescent="0.25">
      <c r="A13" s="1" t="s">
        <v>12</v>
      </c>
      <c r="B13" s="5">
        <v>120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266A6-71D7-4B1D-972F-08C3BA1BC22E}">
  <dimension ref="A1:B13"/>
  <sheetViews>
    <sheetView workbookViewId="0">
      <selection activeCell="C1" sqref="C1:C1048576"/>
    </sheetView>
  </sheetViews>
  <sheetFormatPr defaultRowHeight="15" x14ac:dyDescent="0.25"/>
  <cols>
    <col min="1" max="1" width="28" bestFit="1" customWidth="1"/>
  </cols>
  <sheetData>
    <row r="1" spans="1:2" ht="15.75" x14ac:dyDescent="0.25">
      <c r="A1" s="4" t="s">
        <v>0</v>
      </c>
      <c r="B1" s="4">
        <v>2012</v>
      </c>
    </row>
    <row r="2" spans="1:2" x14ac:dyDescent="0.25">
      <c r="A2" s="1" t="s">
        <v>1</v>
      </c>
      <c r="B2" s="5">
        <v>283367</v>
      </c>
    </row>
    <row r="3" spans="1:2" x14ac:dyDescent="0.25">
      <c r="A3" s="1" t="s">
        <v>2</v>
      </c>
      <c r="B3" s="5">
        <v>130333</v>
      </c>
    </row>
    <row r="4" spans="1:2" x14ac:dyDescent="0.25">
      <c r="A4" s="1" t="s">
        <v>3</v>
      </c>
      <c r="B4" s="5">
        <v>198484</v>
      </c>
    </row>
    <row r="5" spans="1:2" x14ac:dyDescent="0.25">
      <c r="A5" s="1" t="s">
        <v>4</v>
      </c>
      <c r="B5" s="5">
        <v>2249</v>
      </c>
    </row>
    <row r="6" spans="1:2" x14ac:dyDescent="0.25">
      <c r="A6" s="1" t="s">
        <v>5</v>
      </c>
      <c r="B6" s="5">
        <v>2420</v>
      </c>
    </row>
    <row r="7" spans="1:2" x14ac:dyDescent="0.25">
      <c r="A7" s="1" t="s">
        <v>6</v>
      </c>
      <c r="B7" s="5">
        <v>29473</v>
      </c>
    </row>
    <row r="8" spans="1:2" x14ac:dyDescent="0.25">
      <c r="A8" s="1" t="s">
        <v>7</v>
      </c>
      <c r="B8" s="5">
        <v>31639</v>
      </c>
    </row>
    <row r="9" spans="1:2" x14ac:dyDescent="0.25">
      <c r="A9" s="1" t="s">
        <v>8</v>
      </c>
      <c r="B9" s="5">
        <v>150785</v>
      </c>
    </row>
    <row r="10" spans="1:2" x14ac:dyDescent="0.25">
      <c r="A10" s="1" t="s">
        <v>9</v>
      </c>
      <c r="B10" s="5">
        <v>8280</v>
      </c>
    </row>
    <row r="11" spans="1:2" x14ac:dyDescent="0.25">
      <c r="A11" s="1" t="s">
        <v>10</v>
      </c>
      <c r="B11" s="5">
        <v>476</v>
      </c>
    </row>
    <row r="12" spans="1:2" x14ac:dyDescent="0.25">
      <c r="A12" s="1" t="s">
        <v>11</v>
      </c>
      <c r="B12" s="5">
        <v>6442</v>
      </c>
    </row>
    <row r="13" spans="1:2" x14ac:dyDescent="0.25">
      <c r="A13" s="1" t="s">
        <v>12</v>
      </c>
      <c r="B13" s="5">
        <v>117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93F3F-B973-43FE-8F88-3963614C46C3}">
  <dimension ref="A1:B13"/>
  <sheetViews>
    <sheetView workbookViewId="0">
      <selection activeCell="D19" sqref="D19"/>
    </sheetView>
  </sheetViews>
  <sheetFormatPr defaultRowHeight="15" x14ac:dyDescent="0.25"/>
  <cols>
    <col min="1" max="1" width="28" bestFit="1" customWidth="1"/>
  </cols>
  <sheetData>
    <row r="1" spans="1:2" ht="15.75" x14ac:dyDescent="0.25">
      <c r="A1" s="4" t="s">
        <v>0</v>
      </c>
      <c r="B1" s="4">
        <v>2013</v>
      </c>
    </row>
    <row r="2" spans="1:2" x14ac:dyDescent="0.25">
      <c r="A2" s="1" t="s">
        <v>1</v>
      </c>
      <c r="B2" s="5">
        <v>317197</v>
      </c>
    </row>
    <row r="3" spans="1:2" x14ac:dyDescent="0.25">
      <c r="A3" s="1" t="s">
        <v>2</v>
      </c>
      <c r="B3" s="5">
        <v>140204</v>
      </c>
    </row>
    <row r="4" spans="1:2" x14ac:dyDescent="0.25">
      <c r="A4" s="1" t="s">
        <v>3</v>
      </c>
      <c r="B4" s="5">
        <v>211085</v>
      </c>
    </row>
    <row r="5" spans="1:2" x14ac:dyDescent="0.25">
      <c r="A5" s="1" t="s">
        <v>4</v>
      </c>
      <c r="B5" s="5">
        <v>2224</v>
      </c>
    </row>
    <row r="6" spans="1:2" x14ac:dyDescent="0.25">
      <c r="A6" s="1" t="s">
        <v>5</v>
      </c>
      <c r="B6" s="5">
        <v>2403</v>
      </c>
    </row>
    <row r="7" spans="1:2" x14ac:dyDescent="0.25">
      <c r="A7" s="1" t="s">
        <v>6</v>
      </c>
      <c r="B7" s="5">
        <v>32091</v>
      </c>
    </row>
    <row r="8" spans="1:2" x14ac:dyDescent="0.25">
      <c r="A8" s="1" t="s">
        <v>7</v>
      </c>
      <c r="B8" s="5">
        <v>34840</v>
      </c>
    </row>
    <row r="9" spans="1:2" x14ac:dyDescent="0.25">
      <c r="A9" s="1" t="s">
        <v>8</v>
      </c>
      <c r="B9" s="5">
        <v>174769</v>
      </c>
    </row>
    <row r="10" spans="1:2" x14ac:dyDescent="0.25">
      <c r="A10" s="1" t="s">
        <v>9</v>
      </c>
      <c r="B10" s="5">
        <v>8421</v>
      </c>
    </row>
    <row r="11" spans="1:2" x14ac:dyDescent="0.25">
      <c r="A11" s="1" t="s">
        <v>10</v>
      </c>
      <c r="B11" s="5">
        <v>498</v>
      </c>
    </row>
    <row r="12" spans="1:2" x14ac:dyDescent="0.25">
      <c r="A12" s="1" t="s">
        <v>11</v>
      </c>
      <c r="B12" s="5">
        <v>6974</v>
      </c>
    </row>
    <row r="13" spans="1:2" x14ac:dyDescent="0.25">
      <c r="A13" s="1" t="s">
        <v>12</v>
      </c>
      <c r="B13" s="5">
        <v>135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08EE3-15DB-4217-A142-06718444AE2A}">
  <dimension ref="A1:B13"/>
  <sheetViews>
    <sheetView workbookViewId="0">
      <selection activeCell="H14" sqref="H14"/>
    </sheetView>
  </sheetViews>
  <sheetFormatPr defaultRowHeight="15" x14ac:dyDescent="0.25"/>
  <cols>
    <col min="1" max="1" width="28" bestFit="1" customWidth="1"/>
  </cols>
  <sheetData>
    <row r="1" spans="1:2" ht="15.75" x14ac:dyDescent="0.25">
      <c r="A1" s="4" t="s">
        <v>0</v>
      </c>
      <c r="B1" s="4">
        <v>2014</v>
      </c>
    </row>
    <row r="2" spans="1:2" x14ac:dyDescent="0.25">
      <c r="A2" s="1" t="s">
        <v>1</v>
      </c>
      <c r="B2" s="5">
        <v>344336</v>
      </c>
    </row>
    <row r="3" spans="1:2" x14ac:dyDescent="0.25">
      <c r="A3" s="1" t="s">
        <v>2</v>
      </c>
      <c r="B3" s="5">
        <v>149493</v>
      </c>
    </row>
    <row r="4" spans="1:2" x14ac:dyDescent="0.25">
      <c r="A4" s="1" t="s">
        <v>3</v>
      </c>
      <c r="B4" s="5">
        <v>225716</v>
      </c>
    </row>
    <row r="5" spans="1:2" x14ac:dyDescent="0.25">
      <c r="A5" s="1" t="s">
        <v>4</v>
      </c>
      <c r="B5" s="5">
        <v>2339</v>
      </c>
    </row>
    <row r="6" spans="1:2" x14ac:dyDescent="0.25">
      <c r="A6" s="1" t="s">
        <v>5</v>
      </c>
      <c r="B6" s="5">
        <v>2497</v>
      </c>
    </row>
    <row r="7" spans="1:2" x14ac:dyDescent="0.25">
      <c r="A7" s="1" t="s">
        <v>6</v>
      </c>
      <c r="B7" s="5">
        <v>34439</v>
      </c>
    </row>
    <row r="8" spans="1:2" x14ac:dyDescent="0.25">
      <c r="A8" s="1" t="s">
        <v>7</v>
      </c>
      <c r="B8" s="5">
        <v>37349</v>
      </c>
    </row>
    <row r="9" spans="1:2" x14ac:dyDescent="0.25">
      <c r="A9" s="1" t="s">
        <v>8</v>
      </c>
      <c r="B9" s="5">
        <v>192504</v>
      </c>
    </row>
    <row r="10" spans="1:2" x14ac:dyDescent="0.25">
      <c r="A10" s="1" t="s">
        <v>9</v>
      </c>
      <c r="B10" s="5">
        <v>8846</v>
      </c>
    </row>
    <row r="11" spans="1:2" x14ac:dyDescent="0.25">
      <c r="A11" s="1" t="s">
        <v>10</v>
      </c>
      <c r="B11" s="5">
        <v>607</v>
      </c>
    </row>
    <row r="12" spans="1:2" x14ac:dyDescent="0.25">
      <c r="A12" s="1" t="s">
        <v>11</v>
      </c>
      <c r="B12" s="5">
        <v>7084</v>
      </c>
    </row>
    <row r="13" spans="1:2" x14ac:dyDescent="0.25">
      <c r="A13" s="1" t="s">
        <v>12</v>
      </c>
      <c r="B13" s="5">
        <v>135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100AC-0A9F-4450-A8D7-4C73D903E8F1}">
  <dimension ref="A1:B13"/>
  <sheetViews>
    <sheetView zoomScale="120" zoomScaleNormal="120" workbookViewId="0">
      <selection activeCell="D17" sqref="D17"/>
    </sheetView>
  </sheetViews>
  <sheetFormatPr defaultRowHeight="15" x14ac:dyDescent="0.25"/>
  <cols>
    <col min="1" max="1" width="28" bestFit="1" customWidth="1"/>
  </cols>
  <sheetData>
    <row r="1" spans="1:2" ht="15.75" x14ac:dyDescent="0.25">
      <c r="A1" s="4" t="s">
        <v>0</v>
      </c>
      <c r="B1" s="4">
        <v>2015</v>
      </c>
    </row>
    <row r="2" spans="1:2" x14ac:dyDescent="0.25">
      <c r="A2" s="1" t="s">
        <v>1</v>
      </c>
      <c r="B2" s="5">
        <v>374003</v>
      </c>
    </row>
    <row r="3" spans="1:2" x14ac:dyDescent="0.25">
      <c r="A3" s="1" t="s">
        <v>2</v>
      </c>
      <c r="B3" s="5">
        <v>159765</v>
      </c>
    </row>
    <row r="4" spans="1:2" x14ac:dyDescent="0.25">
      <c r="A4" s="1" t="s">
        <v>3</v>
      </c>
      <c r="B4" s="5">
        <v>243229</v>
      </c>
    </row>
    <row r="5" spans="1:2" x14ac:dyDescent="0.25">
      <c r="A5" s="1" t="s">
        <v>4</v>
      </c>
      <c r="B5" s="5">
        <v>2670</v>
      </c>
    </row>
    <row r="6" spans="1:2" x14ac:dyDescent="0.25">
      <c r="A6" s="1" t="s">
        <v>5</v>
      </c>
      <c r="B6" s="5">
        <v>2898</v>
      </c>
    </row>
    <row r="7" spans="1:2" x14ac:dyDescent="0.25">
      <c r="A7" s="1" t="s">
        <v>6</v>
      </c>
      <c r="B7" s="5">
        <v>38199</v>
      </c>
    </row>
    <row r="8" spans="1:2" x14ac:dyDescent="0.25">
      <c r="A8" s="1" t="s">
        <v>7</v>
      </c>
      <c r="B8" s="5">
        <v>41196</v>
      </c>
    </row>
    <row r="9" spans="1:2" x14ac:dyDescent="0.25">
      <c r="A9" s="1" t="s">
        <v>8</v>
      </c>
      <c r="B9" s="5">
        <v>211568</v>
      </c>
    </row>
    <row r="10" spans="1:2" x14ac:dyDescent="0.25">
      <c r="A10" s="1" t="s">
        <v>9</v>
      </c>
      <c r="B10" s="5">
        <v>9075</v>
      </c>
    </row>
    <row r="11" spans="1:2" x14ac:dyDescent="0.25">
      <c r="A11" s="1" t="s">
        <v>10</v>
      </c>
      <c r="B11" s="5">
        <v>609</v>
      </c>
    </row>
    <row r="12" spans="1:2" x14ac:dyDescent="0.25">
      <c r="A12" s="1" t="s">
        <v>11</v>
      </c>
      <c r="B12" s="5">
        <v>7114</v>
      </c>
    </row>
    <row r="13" spans="1:2" x14ac:dyDescent="0.25">
      <c r="A13" s="1" t="s">
        <v>12</v>
      </c>
      <c r="B13" s="5">
        <v>139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1F202-DE34-4385-A56F-9569CFDE357E}">
  <dimension ref="A1:J13"/>
  <sheetViews>
    <sheetView workbookViewId="0">
      <selection activeCell="I8" sqref="I8"/>
    </sheetView>
  </sheetViews>
  <sheetFormatPr defaultRowHeight="15" x14ac:dyDescent="0.25"/>
  <cols>
    <col min="1" max="1" width="28" bestFit="1" customWidth="1"/>
    <col min="8" max="8" width="24.7109375" bestFit="1" customWidth="1"/>
  </cols>
  <sheetData>
    <row r="1" spans="1:10" x14ac:dyDescent="0.25">
      <c r="A1" s="11" t="s">
        <v>0</v>
      </c>
      <c r="B1" s="12" t="s">
        <v>13</v>
      </c>
      <c r="C1" s="12" t="s">
        <v>14</v>
      </c>
      <c r="D1" s="12" t="s">
        <v>15</v>
      </c>
      <c r="E1" s="12" t="s">
        <v>16</v>
      </c>
      <c r="F1" s="13" t="s">
        <v>17</v>
      </c>
      <c r="G1" s="12" t="s">
        <v>18</v>
      </c>
      <c r="H1" s="12" t="s">
        <v>40</v>
      </c>
      <c r="I1" s="12" t="s">
        <v>41</v>
      </c>
      <c r="J1" s="12" t="s">
        <v>38</v>
      </c>
    </row>
    <row r="2" spans="1:10" x14ac:dyDescent="0.25">
      <c r="A2" s="6" t="s">
        <v>1</v>
      </c>
      <c r="B2" s="2">
        <v>229210</v>
      </c>
      <c r="C2" s="2">
        <v>283367</v>
      </c>
      <c r="D2" s="2">
        <v>317197</v>
      </c>
      <c r="E2" s="2">
        <v>344336</v>
      </c>
      <c r="F2" s="7">
        <v>374003</v>
      </c>
      <c r="G2" s="14">
        <f>SUM(Table10[[#This Row],[2011]:[2015]])</f>
        <v>1548113</v>
      </c>
      <c r="H2" s="14">
        <f>Table10[[#This Row],[2015]]-Table10[[#This Row],[2011]]</f>
        <v>144793</v>
      </c>
      <c r="I2" s="16">
        <f>(Table10[[#This Row],[Difference 2015 &amp;2011]]/Table10[[#This Row],[2011]]) *100</f>
        <v>63.170455041228571</v>
      </c>
      <c r="J2" s="15"/>
    </row>
    <row r="3" spans="1:10" x14ac:dyDescent="0.25">
      <c r="A3" s="6" t="s">
        <v>2</v>
      </c>
      <c r="B3" s="2">
        <v>118157</v>
      </c>
      <c r="C3" s="2">
        <v>130333</v>
      </c>
      <c r="D3" s="2">
        <v>140204</v>
      </c>
      <c r="E3" s="2">
        <v>149493</v>
      </c>
      <c r="F3" s="7">
        <v>159765</v>
      </c>
      <c r="G3" s="14">
        <f>SUM(Table10[[#This Row],[2011]:[2015]])</f>
        <v>697952</v>
      </c>
      <c r="H3" s="2">
        <f>Table10[[#This Row],[2015]]-Table10[[#This Row],[2011]]</f>
        <v>41608</v>
      </c>
      <c r="I3" s="16">
        <f>(Table10[[#This Row],[Difference 2015 &amp;2011]]/Table10[[#This Row],[2011]]) *100</f>
        <v>35.214164205252338</v>
      </c>
      <c r="J3" s="15"/>
    </row>
    <row r="4" spans="1:10" x14ac:dyDescent="0.25">
      <c r="A4" s="6" t="s">
        <v>3</v>
      </c>
      <c r="B4" s="2">
        <v>182007</v>
      </c>
      <c r="C4" s="2">
        <v>198484</v>
      </c>
      <c r="D4" s="2">
        <v>211085</v>
      </c>
      <c r="E4" s="2">
        <v>225716</v>
      </c>
      <c r="F4" s="7">
        <v>243229</v>
      </c>
      <c r="G4" s="14">
        <f>SUM(Table10[[#This Row],[2011]:[2015]])</f>
        <v>1060521</v>
      </c>
      <c r="H4" s="2">
        <f>Table10[[#This Row],[2015]]-Table10[[#This Row],[2011]]</f>
        <v>61222</v>
      </c>
      <c r="I4" s="16">
        <f>(Table10[[#This Row],[Difference 2015 &amp;2011]]/Table10[[#This Row],[2011]]) *100</f>
        <v>33.637167801238412</v>
      </c>
      <c r="J4" s="15"/>
    </row>
    <row r="5" spans="1:10" x14ac:dyDescent="0.25">
      <c r="A5" s="6" t="s">
        <v>4</v>
      </c>
      <c r="B5" s="2">
        <v>2215</v>
      </c>
      <c r="C5" s="2">
        <v>2249</v>
      </c>
      <c r="D5" s="2">
        <v>2224</v>
      </c>
      <c r="E5" s="2">
        <v>2339</v>
      </c>
      <c r="F5" s="7">
        <v>2670</v>
      </c>
      <c r="G5" s="14">
        <f>SUM(Table10[[#This Row],[2011]:[2015]])</f>
        <v>11697</v>
      </c>
      <c r="H5" s="2">
        <f>Table10[[#This Row],[2015]]-Table10[[#This Row],[2011]]</f>
        <v>455</v>
      </c>
      <c r="I5" s="16">
        <f>(Table10[[#This Row],[Difference 2015 &amp;2011]]/Table10[[#This Row],[2011]]) *100</f>
        <v>20.541760722347629</v>
      </c>
      <c r="J5" s="15"/>
    </row>
    <row r="6" spans="1:10" x14ac:dyDescent="0.25">
      <c r="A6" s="6" t="s">
        <v>5</v>
      </c>
      <c r="B6" s="2">
        <v>2404</v>
      </c>
      <c r="C6" s="2">
        <v>2420</v>
      </c>
      <c r="D6" s="2">
        <v>2403</v>
      </c>
      <c r="E6" s="2">
        <v>2497</v>
      </c>
      <c r="F6" s="7">
        <v>2898</v>
      </c>
      <c r="G6" s="14">
        <f>SUM(Table10[[#This Row],[2011]:[2015]])</f>
        <v>12622</v>
      </c>
      <c r="H6" s="2">
        <f>Table10[[#This Row],[2015]]-Table10[[#This Row],[2011]]</f>
        <v>494</v>
      </c>
      <c r="I6" s="16">
        <f>(Table10[[#This Row],[Difference 2015 &amp;2011]]/Table10[[#This Row],[2011]]) *100</f>
        <v>20.549084858569053</v>
      </c>
      <c r="J6" s="15"/>
    </row>
    <row r="7" spans="1:10" x14ac:dyDescent="0.25">
      <c r="A7" s="6" t="s">
        <v>6</v>
      </c>
      <c r="B7" s="2">
        <v>11459</v>
      </c>
      <c r="C7" s="2">
        <v>29473</v>
      </c>
      <c r="D7" s="2">
        <v>32091</v>
      </c>
      <c r="E7" s="2">
        <v>34439</v>
      </c>
      <c r="F7" s="7">
        <v>38199</v>
      </c>
      <c r="G7" s="14">
        <f>SUM(Table10[[#This Row],[2011]:[2015]])</f>
        <v>145661</v>
      </c>
      <c r="H7" s="2">
        <f>Table10[[#This Row],[2015]]-Table10[[#This Row],[2011]]</f>
        <v>26740</v>
      </c>
      <c r="I7" s="16">
        <f>(Table10[[#This Row],[Difference 2015 &amp;2011]]/Table10[[#This Row],[2011]]) *100</f>
        <v>233.3536957849725</v>
      </c>
      <c r="J7" s="15"/>
    </row>
    <row r="8" spans="1:10" x14ac:dyDescent="0.25">
      <c r="A8" s="6" t="s">
        <v>7</v>
      </c>
      <c r="B8" s="2">
        <v>12191</v>
      </c>
      <c r="C8" s="2">
        <v>31639</v>
      </c>
      <c r="D8" s="2">
        <v>34840</v>
      </c>
      <c r="E8" s="2">
        <v>37349</v>
      </c>
      <c r="F8" s="7">
        <v>41196</v>
      </c>
      <c r="G8" s="14">
        <f>SUM(Table10[[#This Row],[2011]:[2015]])</f>
        <v>157215</v>
      </c>
      <c r="H8" s="2">
        <f>Table10[[#This Row],[2015]]-Table10[[#This Row],[2011]]</f>
        <v>29005</v>
      </c>
      <c r="I8" s="16">
        <f>(Table10[[#This Row],[Difference 2015 &amp;2011]]/Table10[[#This Row],[2011]]) *100</f>
        <v>237.9214174390944</v>
      </c>
      <c r="J8" s="15"/>
    </row>
    <row r="9" spans="1:10" x14ac:dyDescent="0.25">
      <c r="A9" s="6" t="s">
        <v>8</v>
      </c>
      <c r="B9" s="2">
        <v>108838</v>
      </c>
      <c r="C9" s="2">
        <v>150785</v>
      </c>
      <c r="D9" s="2">
        <v>174769</v>
      </c>
      <c r="E9" s="2">
        <v>192504</v>
      </c>
      <c r="F9" s="7">
        <v>211568</v>
      </c>
      <c r="G9" s="14">
        <f>SUM(Table10[[#This Row],[2011]:[2015]])</f>
        <v>838464</v>
      </c>
      <c r="H9" s="2">
        <f>Table10[[#This Row],[2015]]-Table10[[#This Row],[2011]]</f>
        <v>102730</v>
      </c>
      <c r="I9" s="16">
        <f>(Table10[[#This Row],[Difference 2015 &amp;2011]]/Table10[[#This Row],[2011]]) *100</f>
        <v>94.387989488965246</v>
      </c>
      <c r="J9" s="15"/>
    </row>
    <row r="10" spans="1:10" x14ac:dyDescent="0.25">
      <c r="A10" s="6" t="s">
        <v>9</v>
      </c>
      <c r="B10" s="2">
        <v>7046</v>
      </c>
      <c r="C10" s="2">
        <v>8280</v>
      </c>
      <c r="D10" s="2">
        <v>8421</v>
      </c>
      <c r="E10" s="2">
        <v>8846</v>
      </c>
      <c r="F10" s="7">
        <v>9075</v>
      </c>
      <c r="G10" s="14">
        <f>SUM(Table10[[#This Row],[2011]:[2015]])</f>
        <v>41668</v>
      </c>
      <c r="H10" s="2">
        <f>Table10[[#This Row],[2015]]-Table10[[#This Row],[2011]]</f>
        <v>2029</v>
      </c>
      <c r="I10" s="16">
        <f>(Table10[[#This Row],[Difference 2015 &amp;2011]]/Table10[[#This Row],[2011]]) *100</f>
        <v>28.796480272495035</v>
      </c>
      <c r="J10" s="15"/>
    </row>
    <row r="11" spans="1:10" x14ac:dyDescent="0.25">
      <c r="A11" s="6" t="s">
        <v>10</v>
      </c>
      <c r="B11" s="2">
        <v>498</v>
      </c>
      <c r="C11" s="2">
        <v>476</v>
      </c>
      <c r="D11" s="2">
        <v>498</v>
      </c>
      <c r="E11" s="2">
        <v>607</v>
      </c>
      <c r="F11" s="7">
        <v>609</v>
      </c>
      <c r="G11" s="14">
        <f>SUM(Table10[[#This Row],[2011]:[2015]])</f>
        <v>2688</v>
      </c>
      <c r="H11" s="2">
        <f>Table10[[#This Row],[2015]]-Table10[[#This Row],[2011]]</f>
        <v>111</v>
      </c>
      <c r="I11" s="16">
        <f>(Table10[[#This Row],[Difference 2015 &amp;2011]]/Table10[[#This Row],[2011]]) *100</f>
        <v>22.289156626506024</v>
      </c>
      <c r="J11" s="15"/>
    </row>
    <row r="12" spans="1:10" x14ac:dyDescent="0.25">
      <c r="A12" s="6" t="s">
        <v>11</v>
      </c>
      <c r="B12" s="2">
        <v>5037</v>
      </c>
      <c r="C12" s="2">
        <v>6442</v>
      </c>
      <c r="D12" s="2">
        <v>6974</v>
      </c>
      <c r="E12" s="2">
        <v>7084</v>
      </c>
      <c r="F12" s="7">
        <v>7114</v>
      </c>
      <c r="G12" s="14">
        <f>SUM(Table10[[#This Row],[2011]:[2015]])</f>
        <v>32651</v>
      </c>
      <c r="H12" s="2">
        <f>Table10[[#This Row],[2015]]-Table10[[#This Row],[2011]]</f>
        <v>2077</v>
      </c>
      <c r="I12" s="16">
        <f>(Table10[[#This Row],[Difference 2015 &amp;2011]]/Table10[[#This Row],[2011]]) *100</f>
        <v>41.234862021044272</v>
      </c>
      <c r="J12" s="15"/>
    </row>
    <row r="13" spans="1:10" x14ac:dyDescent="0.25">
      <c r="A13" s="8" t="s">
        <v>12</v>
      </c>
      <c r="B13" s="9">
        <v>120</v>
      </c>
      <c r="C13" s="9">
        <v>117</v>
      </c>
      <c r="D13" s="9">
        <v>135</v>
      </c>
      <c r="E13" s="9">
        <v>135</v>
      </c>
      <c r="F13" s="10">
        <v>139</v>
      </c>
      <c r="G13" s="14">
        <f>SUM(Table10[[#This Row],[2011]:[2015]])</f>
        <v>646</v>
      </c>
      <c r="H13" s="9">
        <f>Table10[[#This Row],[2015]]-Table10[[#This Row],[2011]]</f>
        <v>19</v>
      </c>
      <c r="I13" s="16">
        <f>(Table10[[#This Row],[Difference 2015 &amp;2011]]/Table10[[#This Row],[2011]]) *100</f>
        <v>15.833333333333332</v>
      </c>
      <c r="J13" s="15"/>
    </row>
  </sheetData>
  <phoneticPr fontId="2" type="noConversion"/>
  <pageMargins left="0.7" right="0.7" top="0.75" bottom="0.75" header="0.3" footer="0.3"/>
  <tableParts count="1">
    <tablePart r:id="rId1"/>
  </tableParts>
  <extLst>
    <ext xmlns:x14="http://schemas.microsoft.com/office/spreadsheetml/2009/9/main" uri="{05C60535-1F16-4fd2-B633-F4F36F0B64E0}">
      <x14:sparklineGroups xmlns:xm="http://schemas.microsoft.com/office/excel/2006/main">
        <x14:sparklineGroup displayEmptyCellsAs="gap" markers="1" xr2:uid="{7DD4211B-3E70-4B11-8679-B21632DF1380}">
          <x14:colorSeries theme="1"/>
          <x14:colorNegative rgb="FFD00000"/>
          <x14:colorAxis rgb="FF000000"/>
          <x14:colorMarkers rgb="FFD00000"/>
          <x14:colorFirst rgb="FFD00000"/>
          <x14:colorLast rgb="FFD00000"/>
          <x14:colorHigh rgb="FFD00000"/>
          <x14:colorLow rgb="FFD00000"/>
          <x14:sparklines>
            <x14:sparkline>
              <xm:f>Data!B2:F2</xm:f>
              <xm:sqref>J2</xm:sqref>
            </x14:sparkline>
            <x14:sparkline>
              <xm:f>Data!B3:F3</xm:f>
              <xm:sqref>J3</xm:sqref>
            </x14:sparkline>
            <x14:sparkline>
              <xm:f>Data!B4:F4</xm:f>
              <xm:sqref>J4</xm:sqref>
            </x14:sparkline>
            <x14:sparkline>
              <xm:f>Data!B5:F5</xm:f>
              <xm:sqref>J5</xm:sqref>
            </x14:sparkline>
            <x14:sparkline>
              <xm:f>Data!B6:F6</xm:f>
              <xm:sqref>J6</xm:sqref>
            </x14:sparkline>
            <x14:sparkline>
              <xm:f>Data!B7:F7</xm:f>
              <xm:sqref>J7</xm:sqref>
            </x14:sparkline>
            <x14:sparkline>
              <xm:f>Data!B8:F8</xm:f>
              <xm:sqref>J8</xm:sqref>
            </x14:sparkline>
            <x14:sparkline>
              <xm:f>Data!B9:F9</xm:f>
              <xm:sqref>J9</xm:sqref>
            </x14:sparkline>
            <x14:sparkline>
              <xm:f>Data!B10:F10</xm:f>
              <xm:sqref>J10</xm:sqref>
            </x14:sparkline>
            <x14:sparkline>
              <xm:f>Data!B11:F11</xm:f>
              <xm:sqref>J11</xm:sqref>
            </x14:sparkline>
            <x14:sparkline>
              <xm:f>Data!B12:F12</xm:f>
              <xm:sqref>J12</xm:sqref>
            </x14:sparkline>
            <x14:sparkline>
              <xm:f>Data!B13:F13</xm:f>
              <xm:sqref>J13</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554F3-FA33-4756-BBED-55C4AFA3846C}">
  <dimension ref="A1:B33"/>
  <sheetViews>
    <sheetView workbookViewId="0">
      <selection activeCell="D14" sqref="D14"/>
    </sheetView>
  </sheetViews>
  <sheetFormatPr defaultRowHeight="15" x14ac:dyDescent="0.25"/>
  <cols>
    <col min="1" max="1" width="59.28515625" bestFit="1" customWidth="1"/>
    <col min="2" max="2" width="47.42578125" style="15" bestFit="1" customWidth="1"/>
  </cols>
  <sheetData>
    <row r="1" spans="1:2" x14ac:dyDescent="0.25">
      <c r="A1" s="17" t="s">
        <v>34</v>
      </c>
      <c r="B1" s="18" t="s">
        <v>47</v>
      </c>
    </row>
    <row r="2" spans="1:2" x14ac:dyDescent="0.25">
      <c r="A2" s="2" t="s">
        <v>19</v>
      </c>
      <c r="B2" s="2" t="s">
        <v>37</v>
      </c>
    </row>
    <row r="3" spans="1:2" x14ac:dyDescent="0.25">
      <c r="A3" s="2" t="s">
        <v>20</v>
      </c>
      <c r="B3" s="2" t="s">
        <v>36</v>
      </c>
    </row>
    <row r="4" spans="1:2" x14ac:dyDescent="0.25">
      <c r="A4" s="2" t="s">
        <v>21</v>
      </c>
      <c r="B4" s="2" t="s">
        <v>35</v>
      </c>
    </row>
    <row r="5" spans="1:2" x14ac:dyDescent="0.25">
      <c r="A5" s="2" t="s">
        <v>42</v>
      </c>
      <c r="B5" s="2" t="s">
        <v>43</v>
      </c>
    </row>
    <row r="6" spans="1:2" x14ac:dyDescent="0.25">
      <c r="A6" s="2" t="s">
        <v>22</v>
      </c>
      <c r="B6" s="2" t="s">
        <v>44</v>
      </c>
    </row>
    <row r="7" spans="1:2" x14ac:dyDescent="0.25">
      <c r="A7" s="2" t="s">
        <v>23</v>
      </c>
      <c r="B7" s="2">
        <f>(Data!G2/Data!G4)</f>
        <v>1.4597664732711564</v>
      </c>
    </row>
    <row r="8" spans="1:2" x14ac:dyDescent="0.25">
      <c r="A8" s="2" t="s">
        <v>24</v>
      </c>
      <c r="B8" s="2" t="s">
        <v>45</v>
      </c>
    </row>
    <row r="9" spans="1:2" x14ac:dyDescent="0.25">
      <c r="A9" s="2" t="s">
        <v>25</v>
      </c>
      <c r="B9" s="2" t="s">
        <v>37</v>
      </c>
    </row>
    <row r="10" spans="1:2" x14ac:dyDescent="0.25">
      <c r="A10" s="2" t="s">
        <v>26</v>
      </c>
      <c r="B10" s="2" t="s">
        <v>43</v>
      </c>
    </row>
    <row r="11" spans="1:2" x14ac:dyDescent="0.25">
      <c r="A11" s="2" t="s">
        <v>27</v>
      </c>
      <c r="B11" s="2" t="s">
        <v>37</v>
      </c>
    </row>
    <row r="12" spans="1:2" x14ac:dyDescent="0.25">
      <c r="A12" s="2" t="s">
        <v>28</v>
      </c>
      <c r="B12" s="2" t="s">
        <v>46</v>
      </c>
    </row>
    <row r="13" spans="1:2" x14ac:dyDescent="0.25">
      <c r="A13" s="2" t="s">
        <v>29</v>
      </c>
      <c r="B13" s="2" t="s">
        <v>39</v>
      </c>
    </row>
    <row r="16" spans="1:2" x14ac:dyDescent="0.25">
      <c r="A16" s="3" t="s">
        <v>30</v>
      </c>
    </row>
    <row r="17" spans="1:2" x14ac:dyDescent="0.25">
      <c r="A17" s="2" t="s">
        <v>31</v>
      </c>
    </row>
    <row r="18" spans="1:2" x14ac:dyDescent="0.25">
      <c r="A18" s="2" t="s">
        <v>32</v>
      </c>
    </row>
    <row r="19" spans="1:2" x14ac:dyDescent="0.25">
      <c r="A19" s="2" t="s">
        <v>33</v>
      </c>
    </row>
    <row r="22" spans="1:2" x14ac:dyDescent="0.25">
      <c r="A22" s="24" t="s">
        <v>48</v>
      </c>
    </row>
    <row r="23" spans="1:2" x14ac:dyDescent="0.25">
      <c r="A23" s="19"/>
    </row>
    <row r="24" spans="1:2" x14ac:dyDescent="0.25">
      <c r="A24" s="20" t="s">
        <v>67</v>
      </c>
      <c r="B24" s="21" t="s">
        <v>68</v>
      </c>
    </row>
    <row r="25" spans="1:2" ht="90" x14ac:dyDescent="0.25">
      <c r="A25" s="22" t="s">
        <v>49</v>
      </c>
      <c r="B25" s="23" t="s">
        <v>50</v>
      </c>
    </row>
    <row r="26" spans="1:2" ht="90" x14ac:dyDescent="0.25">
      <c r="A26" s="22" t="s">
        <v>51</v>
      </c>
      <c r="B26" s="23" t="s">
        <v>52</v>
      </c>
    </row>
    <row r="27" spans="1:2" ht="75" x14ac:dyDescent="0.25">
      <c r="A27" s="22" t="s">
        <v>53</v>
      </c>
      <c r="B27" s="23" t="s">
        <v>54</v>
      </c>
    </row>
    <row r="28" spans="1:2" ht="105" x14ac:dyDescent="0.25">
      <c r="A28" s="22" t="s">
        <v>55</v>
      </c>
      <c r="B28" s="23" t="s">
        <v>56</v>
      </c>
    </row>
    <row r="29" spans="1:2" ht="90" x14ac:dyDescent="0.25">
      <c r="A29" s="22" t="s">
        <v>57</v>
      </c>
      <c r="B29" s="23" t="s">
        <v>58</v>
      </c>
    </row>
    <row r="30" spans="1:2" ht="90" x14ac:dyDescent="0.25">
      <c r="A30" s="22" t="s">
        <v>59</v>
      </c>
      <c r="B30" s="23" t="s">
        <v>60</v>
      </c>
    </row>
    <row r="31" spans="1:2" ht="75" x14ac:dyDescent="0.25">
      <c r="A31" s="22" t="s">
        <v>61</v>
      </c>
      <c r="B31" s="23" t="s">
        <v>62</v>
      </c>
    </row>
    <row r="32" spans="1:2" ht="90" x14ac:dyDescent="0.25">
      <c r="A32" s="22" t="s">
        <v>63</v>
      </c>
      <c r="B32" s="23" t="s">
        <v>64</v>
      </c>
    </row>
    <row r="33" spans="1:2" ht="75" x14ac:dyDescent="0.25">
      <c r="A33" s="22" t="s">
        <v>65</v>
      </c>
      <c r="B33" s="23" t="s">
        <v>66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E69B1-E9B2-4270-958A-785DB4A769B8}">
  <dimension ref="A1"/>
  <sheetViews>
    <sheetView tabSelected="1" zoomScale="106" zoomScaleNormal="170" workbookViewId="0">
      <selection activeCell="W21" sqref="W21"/>
    </sheetView>
  </sheetViews>
  <sheetFormatPr defaultRowHeight="15" x14ac:dyDescent="0.25"/>
  <cols>
    <col min="1" max="1" width="3.140625" customWidth="1"/>
    <col min="2" max="2" width="33.140625" customWidth="1"/>
    <col min="3" max="3" width="4.42578125" customWidth="1"/>
  </cols>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BDB531A2F960E40A8FC382BFC301917" ma:contentTypeVersion="12" ma:contentTypeDescription="Create a new document." ma:contentTypeScope="" ma:versionID="a31ee2f624d927cd88b02e43216a9e8b">
  <xsd:schema xmlns:xsd="http://www.w3.org/2001/XMLSchema" xmlns:xs="http://www.w3.org/2001/XMLSchema" xmlns:p="http://schemas.microsoft.com/office/2006/metadata/properties" xmlns:ns3="18e2c92a-7fde-4a8f-88af-eb9bba1ed76c" xmlns:ns4="a5a6fbf2-4ced-470f-9dc2-db12e905ea55" targetNamespace="http://schemas.microsoft.com/office/2006/metadata/properties" ma:root="true" ma:fieldsID="10bb018ca0ebe08b9a8ede32e0a49e11" ns3:_="" ns4:_="">
    <xsd:import namespace="18e2c92a-7fde-4a8f-88af-eb9bba1ed76c"/>
    <xsd:import namespace="a5a6fbf2-4ced-470f-9dc2-db12e905ea55"/>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OCR" minOccurs="0"/>
                <xsd:element ref="ns3:MediaServiceDateTaken" minOccurs="0"/>
                <xsd:element ref="ns3:MediaServiceLocation" minOccurs="0"/>
                <xsd:element ref="ns4:SharedWithUsers" minOccurs="0"/>
                <xsd:element ref="ns4:SharedWithDetails" minOccurs="0"/>
                <xsd:element ref="ns4:SharingHintHash"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8e2c92a-7fde-4a8f-88af-eb9bba1ed7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5a6fbf2-4ced-470f-9dc2-db12e905ea5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135294D-F2F3-48B0-ACE9-B9AF78FAA6AF}">
  <ds:schemaRefs>
    <ds:schemaRef ds:uri="http://schemas.microsoft.com/office/infopath/2007/PartnerControls"/>
    <ds:schemaRef ds:uri="a5a6fbf2-4ced-470f-9dc2-db12e905ea55"/>
    <ds:schemaRef ds:uri="http://purl.org/dc/terms/"/>
    <ds:schemaRef ds:uri="http://schemas.microsoft.com/office/2006/documentManagement/types"/>
    <ds:schemaRef ds:uri="http://purl.org/dc/dcmitype/"/>
    <ds:schemaRef ds:uri="http://schemas.openxmlformats.org/package/2006/metadata/core-properties"/>
    <ds:schemaRef ds:uri="http://purl.org/dc/elements/1.1/"/>
    <ds:schemaRef ds:uri="http://schemas.microsoft.com/office/2006/metadata/properties"/>
    <ds:schemaRef ds:uri="18e2c92a-7fde-4a8f-88af-eb9bba1ed76c"/>
    <ds:schemaRef ds:uri="http://www.w3.org/XML/1998/namespace"/>
  </ds:schemaRefs>
</ds:datastoreItem>
</file>

<file path=customXml/itemProps2.xml><?xml version="1.0" encoding="utf-8"?>
<ds:datastoreItem xmlns:ds="http://schemas.openxmlformats.org/officeDocument/2006/customXml" ds:itemID="{16A227AC-1FA3-4DAB-9195-5598EF253325}">
  <ds:schemaRefs>
    <ds:schemaRef ds:uri="http://schemas.microsoft.com/sharepoint/v3/contenttype/forms"/>
  </ds:schemaRefs>
</ds:datastoreItem>
</file>

<file path=customXml/itemProps3.xml><?xml version="1.0" encoding="utf-8"?>
<ds:datastoreItem xmlns:ds="http://schemas.openxmlformats.org/officeDocument/2006/customXml" ds:itemID="{0010D1E0-7752-4617-AED1-9A57268CBB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8e2c92a-7fde-4a8f-88af-eb9bba1ed76c"/>
    <ds:schemaRef ds:uri="a5a6fbf2-4ced-470f-9dc2-db12e905ea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2011</vt:lpstr>
      <vt:lpstr>2012</vt:lpstr>
      <vt:lpstr>2013</vt:lpstr>
      <vt:lpstr>2014</vt:lpstr>
      <vt:lpstr>2015</vt:lpstr>
      <vt:lpstr>Data</vt:lpstr>
      <vt:lpstr>Questions</vt:lpstr>
      <vt:lpstr>Dashboard</vt:lpstr>
    </vt:vector>
  </TitlesOfParts>
  <Company>FHP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Meyer, Amanda</dc:creator>
  <cp:lastModifiedBy>Bajjuri, Bhavana</cp:lastModifiedBy>
  <dcterms:created xsi:type="dcterms:W3CDTF">2022-06-16T15:25:13Z</dcterms:created>
  <dcterms:modified xsi:type="dcterms:W3CDTF">2026-06-09T19:36:33Z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0x0101007BDB531A2F960E40A8FC382BFC301917</vt:lpwstr>
  </property>
</Properties>
</file>